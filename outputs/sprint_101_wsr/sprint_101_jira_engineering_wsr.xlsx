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b0cfbfd77548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ira WSR" sheetId="1" r:id="R7c02c43126fe4149"/>
    <x:sheet xmlns:r="http://schemas.openxmlformats.org/officeDocument/2006/relationships" name="Active Issues" sheetId="2" r:id="R4e98b1cd58564bee"/>
    <x:sheet xmlns:r="http://schemas.openxmlformats.org/officeDocument/2006/relationships" name="Source Data" sheetId="3" r:id="R314ce68611ed49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10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6"/>
      <x:color rgb="FF1F2937"/>
      <x:name val="Arial"/>
    </x:font>
    <x:font>
      <x:i/>
      <x:sz val="10"/>
      <x:color rgb="FF5B6573"/>
      <x:name val="Arial"/>
    </x:font>
    <x:font>
      <x:b/>
      <x:sz val="10"/>
      <x:color rgb="FF5B6573"/>
      <x:name val="Arial"/>
    </x:font>
    <x:font>
      <x:b/>
      <x:sz val="10"/>
      <x:color rgb="FF7F6000"/>
      <x:name val="Arial"/>
    </x:font>
    <x:font>
      <x:b/>
      <x:sz val="11"/>
      <x:color rgb="FF1F2937"/>
      <x:name val="Arial"/>
    </x:font>
    <x:font>
      <x:b/>
      <x:sz val="10"/>
      <x:color rgb="FF1F2937"/>
      <x:name val="Arial"/>
    </x:font>
    <x:font>
      <x:i/>
      <x:sz val="9"/>
      <x:color rgb="FF5B657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3F6FA"/>
      </x:patternFill>
    </x:fill>
    <x:fill>
      <x:patternFill patternType="solid">
        <x:fgColor rgb="FFD9EAF7"/>
      </x:patternFill>
    </x:fill>
  </x:fills>
  <x:borders count="12">
    <x:border/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2" fillId="0" borderId="5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2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200" fontId="2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9" xfId="0" applyNumberFormat="1" applyFont="1" applyFill="1" applyBorder="1"/>
    <x:xf numFmtId="0" fontId="7" fillId="5" borderId="10" xfId="0" applyNumberFormat="1" applyFont="1" applyFill="1" applyBorder="1"/>
    <x:xf numFmtId="0" fontId="7" fillId="5" borderId="11" xfId="0" applyNumberFormat="1" applyFont="1" applyFill="1" applyBorder="1"/>
    <x:xf numFmtId="201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1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8" xfId="0" applyNumberFormat="1" applyFont="1" applyFill="1" applyBorder="1"/>
    <x:xf numFmtId="0" fontId="0" fillId="4" borderId="5" xfId="0" applyNumberFormat="1" applyFont="1" applyFill="1" applyBorder="1"/>
    <x:xf numFmtId="201" fontId="0" fillId="4" borderId="5" xfId="0" applyNumberFormat="1" applyFont="1" applyFill="1" applyBorder="1"/>
    <x:xf numFmtId="0" fontId="0" fillId="4" borderId="8" xfId="0" applyNumberFormat="1" applyFont="1" applyFill="1" applyBorder="1"/>
    <x:xf numFmtId="0" fontId="8" fillId="4" borderId="5" xfId="0" applyNumberFormat="1" applyFont="1" applyFill="1" applyBorder="1"/>
    <x:xf numFmtId="201" fontId="8" fillId="4" borderId="5" xfId="0" applyNumberFormat="1" applyFont="1" applyFill="1" applyBorder="1"/>
    <x:xf numFmtId="0" fontId="8" fillId="4" borderId="8" xfId="0" applyNumberFormat="1" applyFont="1" applyFill="1" applyBorder="1"/>
    <x:xf numFmtId="0" fontId="8" fillId="4" borderId="5" xfId="0" applyNumberFormat="1" applyFont="1" applyFill="1" applyBorder="1" applyAlignment="1">
      <x:alignment horizontal="right"/>
    </x:xf>
    <x:xf numFmtId="201" fontId="8" fillId="4" borderId="5" xfId="0" applyNumberFormat="1" applyFont="1" applyFill="1" applyBorder="1" applyAlignment="1">
      <x:alignment horizontal="right"/>
    </x:xf>
    <x:xf numFmtId="0" fontId="8" fillId="4" borderId="8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/>
    <x:xf numFmtId="0" fontId="0" fillId="0" borderId="7" xfId="0" applyNumberFormat="1" applyFont="1" applyFill="1" applyBorder="1"/>
    <x:xf numFmtId="201" fontId="0" fillId="0" borderId="8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201" fontId="0" fillId="4" borderId="8" xfId="0" applyNumberFormat="1" applyFont="1" applyFill="1" applyBorder="1"/>
    <x:xf numFmtId="0" fontId="8" fillId="4" borderId="6" xfId="0" applyNumberFormat="1" applyFont="1" applyFill="1" applyBorder="1"/>
    <x:xf numFmtId="0" fontId="8" fillId="4" borderId="7" xfId="0" applyNumberFormat="1" applyFont="1" applyFill="1" applyBorder="1"/>
    <x:xf numFmtId="201" fontId="8" fillId="4" borderId="8" xfId="0" applyNumberFormat="1" applyFont="1" applyFill="1" applyBorder="1"/>
    <x:xf numFmtId="0" fontId="0" fillId="3" borderId="0" xfId="0" applyNumberFormat="1" applyFont="1" applyFill="1" applyBorder="1"/>
    <x:xf numFmtId="0" fontId="0" fillId="3" borderId="7" xfId="0" applyNumberFormat="1" applyFont="1" applyFill="1" applyBorder="1"/>
    <x:xf numFmtId="0" fontId="6" fillId="3" borderId="7" xfId="0" applyNumberFormat="1" applyFont="1" applyFill="1" applyBorder="1"/>
    <x:xf numFmtId="0" fontId="6" fillId="3" borderId="0" xfId="0" applyNumberFormat="1" applyFont="1" applyFill="1" applyBorder="1" applyAlignment="1">
      <x:alignment horizontal="right"/>
    </x:xf>
    <x:xf numFmtId="0" fontId="6" fillId="3" borderId="7" xfId="0" applyNumberFormat="1" applyFont="1" applyFill="1" applyBorder="1" applyAlignment="1">
      <x:alignment horizontal="right"/>
    </x:xf>
    <x:xf numFmtId="0" fontId="0" fillId="0" borderId="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vertical="center"/>
    </x:xf>
    <x:xf numFmtId="0" fontId="7" fillId="5" borderId="9" xfId="0" applyNumberFormat="1" applyFont="1" applyFill="1" applyBorder="1" applyAlignment="1">
      <x:alignment vertical="center"/>
    </x:xf>
    <x:xf numFmtId="0" fontId="7" fillId="5" borderId="10" xfId="0" applyNumberFormat="1" applyFont="1" applyFill="1" applyBorder="1" applyAlignment="1">
      <x:alignment vertical="center"/>
    </x:xf>
    <x:xf numFmtId="0" fontId="7" fillId="5" borderId="11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8" fillId="4" borderId="5" xfId="0" applyNumberFormat="1" applyFont="1" applyFill="1" applyBorder="1" applyAlignment="1">
      <x:alignment horizontal="right" vertical="center"/>
    </x:xf>
    <x:xf numFmtId="201" fontId="8" fillId="4" borderId="5" xfId="0" applyNumberFormat="1" applyFont="1" applyFill="1" applyBorder="1" applyAlignment="1">
      <x:alignment horizontal="right" vertical="center"/>
    </x:xf>
    <x:xf numFmtId="0" fontId="0" fillId="0" borderId="6" xfId="0" applyNumberFormat="1" applyFont="1" applyFill="1" applyBorder="1" applyAlignment="1">
      <x:alignment vertical="center"/>
    </x:xf>
    <x:xf numFmtId="0" fontId="8" fillId="4" borderId="8" xfId="0" applyNumberFormat="1" applyFont="1" applyFill="1" applyBorder="1" applyAlignment="1">
      <x:alignment horizontal="right" vertical="center"/>
    </x:xf>
    <x:xf numFmtId="201" fontId="0" fillId="0" borderId="5" xfId="0" applyNumberFormat="1" applyFont="1" applyFill="1" applyBorder="1" applyAlignment="1">
      <x:alignment vertical="center"/>
    </x:xf>
    <x:xf numFmtId="0" fontId="8" fillId="4" borderId="6" xfId="0" applyNumberFormat="1" applyFont="1" applyFill="1" applyBorder="1" applyAlignment="1">
      <x:alignment vertical="center"/>
    </x:xf>
    <x:xf numFmtId="0" fontId="8" fillId="4" borderId="7" xfId="0" applyNumberFormat="1" applyFont="1" applyFill="1" applyBorder="1" applyAlignment="1">
      <x:alignment vertical="center"/>
    </x:xf>
    <x:xf numFmtId="201" fontId="8" fillId="4" borderId="8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horizontal="right" vertical="center"/>
    </x:xf>
    <x:xf numFmtId="0" fontId="0" fillId="0" borderId="5" xfId="0" applyNumberFormat="1" applyFont="1" applyFill="1" applyBorder="1" applyAlignment="1">
      <x:alignment vertical="center" wrapText="1"/>
    </x:xf>
    <x:xf numFmtId="0" fontId="6" fillId="3" borderId="7" xfId="0" applyNumberFormat="1" applyFont="1" applyFill="1" applyBorder="1" applyAlignment="1">
      <x:alignment horizontal="right" vertical="center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right" vertical="center"/>
    </x:xf>
    <x:xf numFmtId="201" fontId="0" fillId="0" borderId="5" xfId="0" applyNumberFormat="1" applyFont="1" applyFill="1" applyBorder="1" applyAlignment="1">
      <x:alignment horizontal="right" vertical="center"/>
    </x:xf>
    <x:xf numFmtId="0" fontId="8" fillId="4" borderId="7" xfId="0" applyNumberFormat="1" applyFont="1" applyFill="1" applyBorder="1" applyAlignment="1">
      <x:alignment horizontal="right" vertical="center"/>
    </x:xf>
    <x:xf numFmtId="201" fontId="8" fillId="4" borderId="8" xfId="0" applyNumberFormat="1" applyFont="1" applyFill="1" applyBorder="1" applyAlignment="1">
      <x:alignment horizontal="right" vertical="center"/>
    </x:xf>
    <x:xf numFmtId="0" fontId="0" fillId="0" borderId="7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5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bcf679f0f84aaa" /><Relationship Type="http://schemas.openxmlformats.org/officeDocument/2006/relationships/theme" Target="/xl/theme/theme1.xml" Id="R01b9e45e260e4dbb" /><Relationship Type="http://schemas.openxmlformats.org/officeDocument/2006/relationships/sharedStrings" Target="/xl/sharedStrings.xml" Id="R6a4aef9143c84aa0" /><Relationship Type="http://schemas.openxmlformats.org/officeDocument/2006/relationships/worksheet" Target="/xl/worksheets/sheet1.xml" Id="R7c02c43126fe4149" /><Relationship Type="http://schemas.openxmlformats.org/officeDocument/2006/relationships/worksheet" Target="/xl/worksheets/sheet2.xml" Id="R4e98b1cd58564bee" /><Relationship Type="http://schemas.openxmlformats.org/officeDocument/2006/relationships/worksheet" Target="/xl/worksheets/sheet3.xml" Id="R314ce68611ed4936" /></Relationships>
</file>

<file path=xl/tables/table1.xml><?xml version="1.0" encoding="utf-8"?>
<x:table xmlns:x="http://schemas.openxmlformats.org/spreadsheetml/2006/main" id="2" name="ActiveIssuesTable" displayName="ActiveIssuesTable" ref="A5:I103" headerRowCount="1" totalsRowCount="0" totalsRowShown="0">
  <x:tableColumns count="9">
    <x:tableColumn id="1" name="Key"/>
    <x:tableColumn id="2" name="Summary"/>
    <x:tableColumn id="3" name="Issue Type"/>
    <x:tableColumn id="4" name="Assignee"/>
    <x:tableColumn id="5" name="Status"/>
    <x:tableColumn id="6" name="Labels"/>
    <x:tableColumn id="7" name="Production Bug"/>
    <x:tableColumn id="8" name="Attention"/>
    <x:tableColumn id="9" name="Next Ste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SourceDataTable" displayName="SourceDataTable" ref="A1:G223" headerRowCount="1" totalsRowCount="0" totalsRowShown="0">
  <x:tableColumns count="7">
    <x:tableColumn id="1" name="Key"/>
    <x:tableColumn id="2" name="Summary"/>
    <x:tableColumn id="3" name="Issue Type"/>
    <x:tableColumn id="4" name="Assignee"/>
    <x:tableColumn id="5" name="Status"/>
    <x:tableColumn id="6" name="Labels"/>
    <x:tableColumn id="7" name="Production Bu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fbf98b993c41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499ae00efb4453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30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2">
      <x:c r="A2" s="71" t="str">
        <x:v>WEEKLY ENGINEERING STATUS REPORT</x:v>
      </x:c>
      <x:c r="B2" s="72"/>
      <x:c r="C2" s="72"/>
      <x:c r="D2" s="72"/>
      <x:c r="E2" s="72"/>
      <x:c r="F2" s="72"/>
      <x:c r="G2" s="72"/>
      <x:c r="H2" s="72"/>
    </x:row>
    <x:row r="3">
      <x:c r="A3" s="73" t="str">
        <x:v>Sprint 101 status extract | Source: sprint_101_status_updated.csv</x:v>
      </x:c>
      <x:c r="B3" s="72"/>
      <x:c r="C3" s="72"/>
      <x:c r="D3" s="72"/>
      <x:c r="E3" s="72"/>
      <x:c r="F3" s="72"/>
      <x:c r="G3" s="72"/>
      <x:c r="H3" s="72"/>
    </x:row>
    <x:row r="4">
      <x:c r="A4" s="72"/>
      <x:c r="B4" s="72"/>
      <x:c r="C4" s="72"/>
      <x:c r="D4" s="72"/>
      <x:c r="E4" s="72"/>
      <x:c r="F4" s="72"/>
      <x:c r="G4" s="72"/>
      <x:c r="H4" s="72"/>
    </x:row>
    <x:row r="5">
      <x:c r="A5" s="74" t="str">
        <x:v>Report period</x:v>
      </x:c>
      <x:c r="B5" s="6" t="str">
        <x:v>Sprint 101</x:v>
      </x:c>
      <x:c r="C5" s="72"/>
      <x:c r="D5" s="74" t="str">
        <x:v>Status rationale</x:v>
      </x:c>
      <x:c r="E5" s="29" t="str">
        <x:v>Amber reflects 98 non-Done issues and 15 active production bugs.</x:v>
      </x:c>
      <x:c r="F5" s="29"/>
      <x:c r="G5" s="29"/>
      <x:c r="H5" s="29"/>
    </x:row>
    <x:row r="6">
      <x:c r="A6" s="74" t="str">
        <x:v>Team</x:v>
      </x:c>
      <x:c r="B6" s="6" t="str">
        <x:v>HA30 Engineering</x:v>
      </x:c>
      <x:c r="C6" s="72"/>
      <x:c r="D6" s="72"/>
      <x:c r="E6" s="72"/>
      <x:c r="F6" s="72"/>
      <x:c r="G6" s="72"/>
      <x:c r="H6" s="72"/>
    </x:row>
    <x:row r="7">
      <x:c r="A7" s="74" t="str">
        <x:v>Overall status</x:v>
      </x:c>
      <x:c r="B7" s="75" t="str">
        <x:v>Amber</x:v>
      </x:c>
      <x:c r="C7" s="72"/>
      <x:c r="D7" s="72"/>
      <x:c r="E7" s="72"/>
      <x:c r="F7" s="72"/>
      <x:c r="G7" s="72"/>
      <x:c r="H7" s="72"/>
    </x:row>
    <x:row r="8">
      <x:c r="A8" s="74" t="str">
        <x:v>As of</x:v>
      </x:c>
      <x:c r="B8" s="76" t="n">
        <x:v>46273</x:v>
      </x:c>
      <x:c r="C8" s="72"/>
      <x:c r="D8" s="72"/>
      <x:c r="E8" s="72"/>
      <x:c r="F8" s="72"/>
      <x:c r="G8" s="72"/>
      <x:c r="H8" s="72"/>
    </x:row>
    <x:row r="9">
      <x:c r="A9" s="72"/>
      <x:c r="B9" s="72"/>
      <x:c r="C9" s="72"/>
      <x:c r="D9" s="72"/>
      <x:c r="E9" s="72"/>
      <x:c r="F9" s="72"/>
      <x:c r="G9" s="72"/>
      <x:c r="H9" s="72"/>
    </x:row>
    <x:row r="10">
      <x:c r="A10" s="77" t="str">
        <x:v>1. Completed This Week</x:v>
      </x:c>
      <x:c r="B10" s="78" t="str">
        <x:v>1. Completed This Week</x:v>
      </x:c>
      <x:c r="C10" s="78" t="str">
        <x:v>1. Completed This Week</x:v>
      </x:c>
      <x:c r="D10" s="79" t="str">
        <x:v>1. Completed This Week</x:v>
      </x:c>
      <x:c r="E10" s="72"/>
      <x:c r="F10" s="72"/>
      <x:c r="G10" s="72"/>
      <x:c r="H10" s="72"/>
    </x:row>
    <x:row r="11">
      <x:c r="A11" s="8" t="str">
        <x:v>Metric</x:v>
      </x:c>
      <x:c r="B11" s="10" t="str">
        <x:v>Value</x:v>
      </x:c>
      <x:c r="C11" s="72"/>
      <x:c r="D11" s="8" t="str">
        <x:v>Issue type</x:v>
      </x:c>
      <x:c r="E11" s="10" t="str">
        <x:v>Count</x:v>
      </x:c>
      <x:c r="F11" s="72"/>
      <x:c r="G11" s="72"/>
      <x:c r="H11" s="72"/>
    </x:row>
    <x:row r="12">
      <x:c r="A12" s="80" t="str">
        <x:v>Total issues in extract</x:v>
      </x:c>
      <x:c r="B12" s="81" t="n">
        <x:f>COUNTA('Source Data'!$A$2:$A$223)</x:f>
        <x:v>222</x:v>
      </x:c>
      <x:c r="C12" s="72"/>
      <x:c r="D12" s="80" t="str">
        <x:v>Bug</x:v>
      </x:c>
      <x:c r="E12" s="81" t="n">
        <x:f>COUNTIF('Source Data'!$C$2:$C$223,"Bug")</x:f>
        <x:v>84</x:v>
      </x:c>
      <x:c r="F12" s="72"/>
      <x:c r="G12" s="72"/>
      <x:c r="H12" s="72"/>
    </x:row>
    <x:row r="13">
      <x:c r="A13" s="80" t="str">
        <x:v>Done</x:v>
      </x:c>
      <x:c r="B13" s="81" t="n">
        <x:f>COUNTIF('Source Data'!$E$2:$E$223,"Done")</x:f>
        <x:v>124</x:v>
      </x:c>
      <x:c r="C13" s="72"/>
      <x:c r="D13" s="80" t="str">
        <x:v>Task</x:v>
      </x:c>
      <x:c r="E13" s="81" t="n">
        <x:f>COUNTIF('Source Data'!$C$2:$C$223,"Task")</x:f>
        <x:v>92</x:v>
      </x:c>
      <x:c r="F13" s="72"/>
      <x:c r="G13" s="72"/>
      <x:c r="H13" s="72"/>
    </x:row>
    <x:row r="14">
      <x:c r="A14" s="80" t="str">
        <x:v>Completion rate</x:v>
      </x:c>
      <x:c r="B14" s="82" t="n">
        <x:f>B13/B12</x:f>
        <x:v>0.5585585585585585</x:v>
      </x:c>
      <x:c r="C14" s="72"/>
      <x:c r="D14" s="80" t="str">
        <x:v>Story</x:v>
      </x:c>
      <x:c r="E14" s="81" t="n">
        <x:f>COUNTIF('Source Data'!$C$2:$C$223,"Story")</x:f>
        <x:v>41</x:v>
      </x:c>
      <x:c r="F14" s="72"/>
      <x:c r="G14" s="72"/>
      <x:c r="H14" s="72"/>
    </x:row>
    <x:row r="15">
      <x:c r="A15" s="80" t="str">
        <x:v>Production bugs total</x:v>
      </x:c>
      <x:c r="B15" s="81" t="n">
        <x:f>COUNTIF('Source Data'!$G$2:$G$223,"Yes")</x:f>
        <x:v>21</x:v>
      </x:c>
      <x:c r="C15" s="72"/>
      <x:c r="D15" s="80" t="str">
        <x:v>Improvement</x:v>
      </x:c>
      <x:c r="E15" s="81" t="n">
        <x:f>COUNTIF('Source Data'!$C$2:$C$223,"Improvement")</x:f>
        <x:v>5</x:v>
      </x:c>
      <x:c r="F15" s="72"/>
      <x:c r="G15" s="72"/>
      <x:c r="H15" s="72"/>
    </x:row>
    <x:row r="16">
      <x:c r="A16" s="80" t="str">
        <x:v>Production bugs still active</x:v>
      </x:c>
      <x:c r="B16" s="81" t="n">
        <x:f>COUNTIFS('Source Data'!$G$2:$G$223,"Yes",'Source Data'!$E$2:$E$223,"&lt;&gt;Done")</x:f>
        <x:v>15</x:v>
      </x:c>
      <x:c r="C16" s="72"/>
      <x:c r="D16" s="80" t="str">
        <x:v>Deployment-tagged</x:v>
      </x:c>
      <x:c r="E16" s="81" t="n">
        <x:v>12</x:v>
      </x:c>
      <x:c r="F16" s="72"/>
      <x:c r="G16" s="72"/>
      <x:c r="H16" s="72"/>
    </x:row>
    <x:row r="17">
      <x:c r="A17" s="83" t="str">
        <x:v>Active issues</x:v>
      </x:c>
      <x:c r="B17" s="84" t="n">
        <x:f>COUNTIF('Source Data'!$E$2:$E$223,"&lt;&gt;Done")</x:f>
        <x:v>98</x:v>
      </x:c>
      <x:c r="C17" s="72"/>
      <x:c r="D17" s="83" t="str">
        <x:v>QA automation</x:v>
      </x:c>
      <x:c r="E17" s="84" t="n">
        <x:v>10</x:v>
      </x:c>
      <x:c r="F17" s="72"/>
      <x:c r="G17" s="72"/>
      <x:c r="H17" s="72"/>
    </x:row>
    <x:row r="18">
      <x:c r="A18" s="72"/>
      <x:c r="B18" s="72"/>
      <x:c r="C18" s="72"/>
      <x:c r="D18" s="72"/>
      <x:c r="E18" s="72"/>
      <x:c r="F18" s="72"/>
      <x:c r="G18" s="72"/>
      <x:c r="H18" s="72"/>
    </x:row>
    <x:row r="19">
      <x:c r="A19" s="72"/>
      <x:c r="B19" s="72"/>
      <x:c r="C19" s="72"/>
      <x:c r="D19" s="72"/>
      <x:c r="E19" s="72"/>
      <x:c r="F19" s="72"/>
      <x:c r="G19" s="72"/>
      <x:c r="H19" s="72"/>
    </x:row>
    <x:row r="20">
      <x:c r="A20" s="77" t="str">
        <x:v>2. In Progress</x:v>
      </x:c>
      <x:c r="B20" s="78" t="str">
        <x:v>2. In Progress</x:v>
      </x:c>
      <x:c r="C20" s="78" t="str">
        <x:v>2. In Progress</x:v>
      </x:c>
      <x:c r="D20" s="79" t="str">
        <x:v>2. In Progress</x:v>
      </x:c>
      <x:c r="E20" s="72"/>
      <x:c r="F20" s="72"/>
      <x:c r="G20" s="72"/>
      <x:c r="H20" s="72"/>
    </x:row>
    <x:row r="21">
      <x:c r="A21" s="8" t="str">
        <x:v>Status</x:v>
      </x:c>
      <x:c r="B21" s="9" t="str">
        <x:v>Issue count</x:v>
      </x:c>
      <x:c r="C21" s="9" t="str">
        <x:v>Production bugs</x:v>
      </x:c>
      <x:c r="D21" s="10" t="str">
        <x:v>Share of extract</x:v>
      </x:c>
      <x:c r="E21" s="72"/>
      <x:c r="F21" s="72"/>
      <x:c r="G21" s="72"/>
      <x:c r="H21" s="72"/>
    </x:row>
    <x:row r="22">
      <x:c r="A22" s="80" t="str">
        <x:v>New / Open</x:v>
      </x:c>
      <x:c r="B22" s="96" t="n">
        <x:f>COUNTIF('Source Data'!$E$2:$E$223,A22)</x:f>
        <x:v>38</x:v>
      </x:c>
      <x:c r="C22" s="96" t="n">
        <x:f>COUNTIFS('Source Data'!$E$2:$E$223,A22,'Source Data'!$G$2:$G$223,"Yes")</x:f>
        <x:v>5</x:v>
      </x:c>
      <x:c r="D22" s="97" t="n">
        <x:f>B22/$B$12</x:f>
        <x:v>0.17117117117117117</x:v>
      </x:c>
      <x:c r="E22" s="72"/>
      <x:c r="F22" s="72"/>
      <x:c r="G22" s="72"/>
      <x:c r="H22" s="72"/>
    </x:row>
    <x:row r="23">
      <x:c r="A23" s="80" t="str">
        <x:v>In Progress</x:v>
      </x:c>
      <x:c r="B23" s="96" t="n">
        <x:f>COUNTIF('Source Data'!$E$2:$E$223,A23)</x:f>
        <x:v>29</x:v>
      </x:c>
      <x:c r="C23" s="96" t="n">
        <x:f>COUNTIFS('Source Data'!$E$2:$E$223,A23,'Source Data'!$G$2:$G$223,"Yes")</x:f>
        <x:v>1</x:v>
      </x:c>
      <x:c r="D23" s="97" t="n">
        <x:f>B23/$B$12</x:f>
        <x:v>0.13063063063063063</x:v>
      </x:c>
      <x:c r="E23" s="72"/>
      <x:c r="F23" s="72"/>
      <x:c r="G23" s="72"/>
      <x:c r="H23" s="72"/>
    </x:row>
    <x:row r="24">
      <x:c r="A24" s="80" t="str">
        <x:v>Ready for Testing</x:v>
      </x:c>
      <x:c r="B24" s="96" t="n">
        <x:f>COUNTIF('Source Data'!$E$2:$E$223,A24)</x:f>
        <x:v>16</x:v>
      </x:c>
      <x:c r="C24" s="96" t="n">
        <x:f>COUNTIFS('Source Data'!$E$2:$E$223,A24,'Source Data'!$G$2:$G$223,"Yes")</x:f>
        <x:v>7</x:v>
      </x:c>
      <x:c r="D24" s="97" t="n">
        <x:f>B24/$B$12</x:f>
        <x:v>0.07207207207207207</x:v>
      </x:c>
      <x:c r="E24" s="72"/>
      <x:c r="F24" s="72"/>
      <x:c r="G24" s="72"/>
      <x:c r="H24" s="72"/>
    </x:row>
    <x:row r="25">
      <x:c r="A25" s="80" t="str">
        <x:v>HerdX Accepted</x:v>
      </x:c>
      <x:c r="B25" s="96" t="n">
        <x:f>COUNTIF('Source Data'!$E$2:$E$223,A25)</x:f>
        <x:v>11</x:v>
      </x:c>
      <x:c r="C25" s="96" t="n">
        <x:f>COUNTIFS('Source Data'!$E$2:$E$223,A25,'Source Data'!$G$2:$G$223,"Yes")</x:f>
        <x:v>1</x:v>
      </x:c>
      <x:c r="D25" s="97" t="n">
        <x:f>B25/$B$12</x:f>
        <x:v>0.04954954954954955</x:v>
      </x:c>
      <x:c r="E25" s="72"/>
      <x:c r="F25" s="72"/>
      <x:c r="G25" s="72"/>
      <x:c r="H25" s="72"/>
    </x:row>
    <x:row r="26">
      <x:c r="A26" s="80" t="str">
        <x:v>Rejected / Not a Bug</x:v>
      </x:c>
      <x:c r="B26" s="96" t="n">
        <x:f>COUNTIF('Source Data'!$E$2:$E$223,A26)</x:f>
        <x:v>2</x:v>
      </x:c>
      <x:c r="C26" s="96" t="n">
        <x:f>COUNTIFS('Source Data'!$E$2:$E$223,A26,'Source Data'!$G$2:$G$223,"Yes")</x:f>
        <x:v>0</x:v>
      </x:c>
      <x:c r="D26" s="97" t="n">
        <x:f>B26/$B$12</x:f>
        <x:v>0.009009009009009009</x:v>
      </x:c>
      <x:c r="E26" s="72"/>
      <x:c r="F26" s="72"/>
      <x:c r="G26" s="72"/>
      <x:c r="H26" s="72"/>
    </x:row>
    <x:row r="27">
      <x:c r="A27" s="80" t="str">
        <x:v>Cannot Reproduce</x:v>
      </x:c>
      <x:c r="B27" s="96" t="n">
        <x:f>COUNTIF('Source Data'!$E$2:$E$223,A27)</x:f>
        <x:v>1</x:v>
      </x:c>
      <x:c r="C27" s="96" t="n">
        <x:f>COUNTIFS('Source Data'!$E$2:$E$223,A27,'Source Data'!$G$2:$G$223,"Yes")</x:f>
        <x:v>1</x:v>
      </x:c>
      <x:c r="D27" s="97" t="n">
        <x:f>B27/$B$12</x:f>
        <x:v>0.0045045045045045045</x:v>
      </x:c>
      <x:c r="E27" s="72"/>
      <x:c r="F27" s="72"/>
      <x:c r="G27" s="72"/>
      <x:c r="H27" s="72"/>
    </x:row>
    <x:row r="28">
      <x:c r="A28" s="80" t="str">
        <x:v>Discarded</x:v>
      </x:c>
      <x:c r="B28" s="96" t="n">
        <x:f>COUNTIF('Source Data'!$E$2:$E$223,A28)</x:f>
        <x:v>1</x:v>
      </x:c>
      <x:c r="C28" s="96" t="n">
        <x:f>COUNTIFS('Source Data'!$E$2:$E$223,A28,'Source Data'!$G$2:$G$223,"Yes")</x:f>
        <x:v>0</x:v>
      </x:c>
      <x:c r="D28" s="97" t="n">
        <x:f>B28/$B$12</x:f>
        <x:v>0.0045045045045045045</x:v>
      </x:c>
      <x:c r="E28" s="72"/>
      <x:c r="F28" s="72"/>
      <x:c r="G28" s="72"/>
      <x:c r="H28" s="72"/>
    </x:row>
    <x:row r="29">
      <x:c r="A29" s="86" t="str">
        <x:v>Total not Done</x:v>
      </x:c>
      <x:c r="B29" s="98" t="n">
        <x:f>SUM(B22:B28)</x:f>
        <x:v>98</x:v>
      </x:c>
      <x:c r="C29" s="98" t="n">
        <x:f>SUM(C22:C28)</x:f>
        <x:v>15</x:v>
      </x:c>
      <x:c r="D29" s="99" t="n">
        <x:f>B29/$B$12</x:f>
        <x:v>0.44144144144144143</x:v>
      </x:c>
      <x:c r="E29" s="72"/>
      <x:c r="F29" s="72"/>
      <x:c r="G29" s="72"/>
      <x:c r="H29" s="72"/>
    </x:row>
    <x:row r="30">
      <x:c r="A30" s="72"/>
      <x:c r="B30" s="72"/>
      <x:c r="C30" s="72"/>
      <x:c r="D30" s="72"/>
      <x:c r="E30" s="72"/>
      <x:c r="F30" s="72"/>
      <x:c r="G30" s="72"/>
      <x:c r="H30" s="72"/>
    </x:row>
    <x:row r="31">
      <x:c r="A31" s="72"/>
      <x:c r="B31" s="72"/>
      <x:c r="C31" s="72"/>
      <x:c r="D31" s="72"/>
      <x:c r="E31" s="72"/>
      <x:c r="F31" s="72"/>
      <x:c r="G31" s="72"/>
      <x:c r="H31" s="72"/>
    </x:row>
    <x:row r="32">
      <x:c r="A32" s="77" t="str">
        <x:v>3. Blocked or At Risk</x:v>
      </x:c>
      <x:c r="B32" s="78" t="str">
        <x:v>3. Blocked or At Risk</x:v>
      </x:c>
      <x:c r="C32" s="78" t="str">
        <x:v>3. Blocked or At Risk</x:v>
      </x:c>
      <x:c r="D32" s="79" t="str">
        <x:v>3. Blocked or At Risk</x:v>
      </x:c>
      <x:c r="E32" s="72"/>
      <x:c r="F32" s="72"/>
      <x:c r="G32" s="72"/>
      <x:c r="H32" s="72"/>
    </x:row>
    <x:row r="33">
      <x:c r="A33" s="8" t="str">
        <x:v>Risk / issue</x:v>
      </x:c>
      <x:c r="B33" s="9" t="str">
        <x:v>Count</x:v>
      </x:c>
      <x:c r="C33" s="10" t="str">
        <x:v>Action / reference</x:v>
      </x:c>
      <x:c r="D33" s="72"/>
      <x:c r="E33" s="72"/>
      <x:c r="F33" s="72"/>
      <x:c r="G33" s="72"/>
      <x:c r="H33" s="72"/>
    </x:row>
    <x:row r="34">
      <x:c r="A34" s="80" t="str">
        <x:v>Active production bugs</x:v>
      </x:c>
      <x:c r="B34" s="89" t="n">
        <x:f>B16</x:f>
        <x:v>15</x:v>
      </x:c>
      <x:c r="C34" s="90" t="str">
        <x:v>See Active Issues tab; production risks are sorted first.</x:v>
      </x:c>
      <x:c r="D34" s="72"/>
      <x:c r="E34" s="72"/>
      <x:c r="F34" s="72"/>
      <x:c r="G34" s="72"/>
      <x:c r="H34" s="72"/>
    </x:row>
    <x:row r="35">
      <x:c r="A35" s="80" t="str">
        <x:v>New / Open issues</x:v>
      </x:c>
      <x:c r="B35" s="89" t="n">
        <x:f>B22</x:f>
        <x:v>38</x:v>
      </x:c>
      <x:c r="C35" s="90" t="str">
        <x:v>Triage and plan.</x:v>
      </x:c>
      <x:c r="D35" s="72"/>
      <x:c r="E35" s="72"/>
      <x:c r="F35" s="72"/>
      <x:c r="G35" s="72"/>
      <x:c r="H35" s="72"/>
    </x:row>
    <x:row r="36">
      <x:c r="A36" s="80" t="str">
        <x:v>In Progress issues</x:v>
      </x:c>
      <x:c r="B36" s="89" t="n">
        <x:f>B23</x:f>
        <x:v>29</x:v>
      </x:c>
      <x:c r="C36" s="90" t="str">
        <x:v>Continue development and confirm next milestones.</x:v>
      </x:c>
      <x:c r="D36" s="72"/>
      <x:c r="E36" s="72"/>
      <x:c r="F36" s="72"/>
      <x:c r="G36" s="72"/>
      <x:c r="H36" s="72"/>
    </x:row>
    <x:row r="37">
      <x:c r="A37" s="80" t="str">
        <x:v>Ready for Testing</x:v>
      </x:c>
      <x:c r="B37" s="89" t="n">
        <x:f>B24</x:f>
        <x:v>16</x:v>
      </x:c>
      <x:c r="C37" s="90" t="str">
        <x:v>Complete QA validation.</x:v>
      </x:c>
      <x:c r="D37" s="72"/>
      <x:c r="E37" s="72"/>
      <x:c r="F37" s="72"/>
      <x:c r="G37" s="72"/>
      <x:c r="H37" s="72"/>
    </x:row>
    <x:row r="38">
      <x:c r="A38" s="83" t="str">
        <x:v>Unassigned active issues</x:v>
      </x:c>
      <x:c r="B38" s="91" t="n">
        <x:v>5</x:v>
      </x:c>
      <x:c r="C38" s="92" t="str">
        <x:v>Assign owners; see Attention column.</x:v>
      </x:c>
      <x:c r="D38" s="72"/>
      <x:c r="E38" s="72"/>
      <x:c r="F38" s="72"/>
      <x:c r="G38" s="72"/>
      <x:c r="H38" s="72"/>
    </x:row>
    <x:row r="39">
      <x:c r="A39" s="72"/>
      <x:c r="B39" s="72"/>
      <x:c r="C39" s="72"/>
      <x:c r="D39" s="72"/>
      <x:c r="E39" s="72"/>
      <x:c r="F39" s="72"/>
      <x:c r="G39" s="72"/>
      <x:c r="H39" s="72"/>
    </x:row>
    <x:row r="40">
      <x:c r="A40" s="72"/>
      <x:c r="B40" s="72"/>
      <x:c r="C40" s="72"/>
      <x:c r="D40" s="72"/>
      <x:c r="E40" s="72"/>
      <x:c r="F40" s="72"/>
      <x:c r="G40" s="72"/>
      <x:c r="H40" s="72"/>
    </x:row>
    <x:row r="41">
      <x:c r="A41" s="77" t="str">
        <x:v>4. Release / Deployment Updates</x:v>
      </x:c>
      <x:c r="B41" s="78" t="str">
        <x:v>4. Release / Deployment Updates</x:v>
      </x:c>
      <x:c r="C41" s="78" t="str">
        <x:v>4. Release / Deployment Updates</x:v>
      </x:c>
      <x:c r="D41" s="79" t="str">
        <x:v>4. Release / Deployment Updates</x:v>
      </x:c>
      <x:c r="E41" s="72"/>
      <x:c r="F41" s="72"/>
      <x:c r="G41" s="72"/>
      <x:c r="H41" s="72"/>
    </x:row>
    <x:row r="42">
      <x:c r="A42" s="8" t="str">
        <x:v>Metric</x:v>
      </x:c>
      <x:c r="B42" s="9" t="str">
        <x:v>Count</x:v>
      </x:c>
      <x:c r="C42" s="10" t="str">
        <x:v>Notes</x:v>
      </x:c>
      <x:c r="D42" s="72"/>
      <x:c r="E42" s="72"/>
      <x:c r="F42" s="72"/>
      <x:c r="G42" s="72"/>
      <x:c r="H42" s="72"/>
    </x:row>
    <x:row r="43">
      <x:c r="A43" s="80" t="str">
        <x:v>Deployment-tagged issues</x:v>
      </x:c>
      <x:c r="B43" s="96" t="n">
        <x:v>12</x:v>
      </x:c>
      <x:c r="C43" s="90" t="str">
        <x:v>Includes release and deployment work.</x:v>
      </x:c>
      <x:c r="D43" s="72"/>
      <x:c r="E43" s="72"/>
      <x:c r="F43" s="72"/>
      <x:c r="G43" s="72"/>
      <x:c r="H43" s="72"/>
    </x:row>
    <x:row r="44">
      <x:c r="A44" s="80" t="str">
        <x:v>Deployment-tagged Done</x:v>
      </x:c>
      <x:c r="B44" s="96" t="n">
        <x:v>10</x:v>
      </x:c>
      <x:c r="C44" s="90" t="str">
        <x:v>Completed deployment items in the extract.</x:v>
      </x:c>
      <x:c r="D44" s="72"/>
      <x:c r="E44" s="72"/>
      <x:c r="F44" s="72"/>
      <x:c r="G44" s="72"/>
      <x:c r="H44" s="72"/>
    </x:row>
    <x:row r="45">
      <x:c r="A45" s="80" t="str">
        <x:v>Deployment-tagged still open</x:v>
      </x:c>
      <x:c r="B45" s="96" t="n">
        <x:v>2</x:v>
      </x:c>
      <x:c r="C45" s="90" t="str">
        <x:v>Follow up on remaining deployment work.</x:v>
      </x:c>
      <x:c r="D45" s="72"/>
      <x:c r="E45" s="72"/>
      <x:c r="F45" s="72"/>
      <x:c r="G45" s="72"/>
      <x:c r="H45" s="72"/>
    </x:row>
    <x:row r="46">
      <x:c r="A46" s="83" t="str">
        <x:v>QA automation still open</x:v>
      </x:c>
      <x:c r="B46" s="100" t="n">
        <x:v>2</x:v>
      </x:c>
      <x:c r="C46" s="92" t="str">
        <x:v>Regression items not yet Done.</x:v>
      </x:c>
      <x:c r="D46" s="72"/>
      <x:c r="E46" s="72"/>
      <x:c r="F46" s="72"/>
      <x:c r="G46" s="72"/>
      <x:c r="H46" s="72"/>
    </x:row>
    <x:row r="47">
      <x:c r="A47" s="72"/>
      <x:c r="B47" s="72"/>
      <x:c r="C47" s="72"/>
      <x:c r="D47" s="72"/>
      <x:c r="E47" s="72"/>
      <x:c r="F47" s="72"/>
      <x:c r="G47" s="72"/>
      <x:c r="H47" s="72"/>
    </x:row>
    <x:row r="48">
      <x:c r="A48" s="72"/>
      <x:c r="B48" s="72"/>
      <x:c r="C48" s="72"/>
      <x:c r="D48" s="72"/>
      <x:c r="E48" s="72"/>
      <x:c r="F48" s="72"/>
      <x:c r="G48" s="72"/>
      <x:c r="H48" s="72"/>
    </x:row>
    <x:row r="49">
      <x:c r="A49" s="77" t="str">
        <x:v>5. Next Week's Focus</x:v>
      </x:c>
      <x:c r="B49" s="78" t="str">
        <x:v>5. Next Week's Focus</x:v>
      </x:c>
      <x:c r="C49" s="78" t="str">
        <x:v>5. Next Week's Focus</x:v>
      </x:c>
      <x:c r="D49" s="79" t="str">
        <x:v>5. Next Week's Focus</x:v>
      </x:c>
      <x:c r="E49" s="72"/>
      <x:c r="F49" s="72"/>
      <x:c r="G49" s="72"/>
      <x:c r="H49" s="72"/>
    </x:row>
    <x:row r="50">
      <x:c r="A50" s="8" t="str">
        <x:v>Focus area</x:v>
      </x:c>
      <x:c r="B50" s="9" t="str">
        <x:v>Recommended action</x:v>
      </x:c>
      <x:c r="C50" s="10" t="str">
        <x:v>Basis</x:v>
      </x:c>
      <x:c r="D50" s="72"/>
      <x:c r="E50" s="72"/>
      <x:c r="F50" s="72"/>
      <x:c r="G50" s="72"/>
      <x:c r="H50" s="72"/>
    </x:row>
    <x:row r="51">
      <x:c r="A51" s="80" t="str">
        <x:v>Production defects</x:v>
      </x:c>
      <x:c r="B51" s="94" t="str">
        <x:v>Prioritize active production bugs and confirm ownership.</x:v>
      </x:c>
      <x:c r="C51" s="90" t="str">
        <x:v>15 active production bugs</x:v>
      </x:c>
      <x:c r="D51" s="72"/>
      <x:c r="E51" s="72"/>
      <x:c r="F51" s="72"/>
      <x:c r="G51" s="72"/>
      <x:c r="H51" s="72"/>
    </x:row>
    <x:row r="52">
      <x:c r="A52" s="80" t="str">
        <x:v>Testing pipeline</x:v>
      </x:c>
      <x:c r="B52" s="94" t="str">
        <x:v>Close or retest items currently Ready for Testing.</x:v>
      </x:c>
      <x:c r="C52" s="90" t="str">
        <x:v>16 Ready for Testing</x:v>
      </x:c>
      <x:c r="D52" s="72"/>
      <x:c r="E52" s="72"/>
      <x:c r="F52" s="72"/>
      <x:c r="G52" s="72"/>
      <x:c r="H52" s="72"/>
    </x:row>
    <x:row r="53">
      <x:c r="A53" s="83" t="str">
        <x:v>Open backlog</x:v>
      </x:c>
      <x:c r="B53" s="95" t="str">
        <x:v>Triage New / Open items and assign the unowned work.</x:v>
      </x:c>
      <x:c r="C53" s="92" t="str">
        <x:v>38 New / Open; 5 unassigned active issues</x:v>
      </x:c>
      <x:c r="D53" s="72"/>
      <x:c r="E53" s="72"/>
      <x:c r="F53" s="72"/>
      <x:c r="G53" s="72"/>
      <x:c r="H53" s="72"/>
    </x:row>
    <x:row r="54">
      <x:c r="A54" s="72"/>
      <x:c r="B54" s="72"/>
      <x:c r="C54" s="72"/>
      <x:c r="D54" s="72"/>
      <x:c r="E54" s="72"/>
      <x:c r="F54" s="72"/>
      <x:c r="G54" s="72"/>
      <x:c r="H54" s="72"/>
    </x:row>
    <x:row r="55">
      <x:c r="A55" s="72"/>
      <x:c r="B55" s="72"/>
      <x:c r="C55" s="72"/>
      <x:c r="D55" s="72"/>
      <x:c r="E55" s="72"/>
      <x:c r="F55" s="72"/>
      <x:c r="G55" s="72"/>
      <x:c r="H55" s="72"/>
    </x:row>
    <x:row r="56" ht="36" customHeight="1">
      <x:c r="A56" s="70" t="str">
        <x:v>Source note: The CSV contains issue status, ownership, labels, and production-bug flags, but no issue dates, estimates, due dates, or sprint timestamps. Counts therefore reflect the supplied Sprint 101 extract rather than a dated weekly delta.</x:v>
      </x:c>
      <x:c r="B56" s="70"/>
      <x:c r="C56" s="70"/>
      <x:c r="D56" s="70"/>
      <x:c r="E56" s="70"/>
      <x:c r="F56" s="70"/>
      <x:c r="G56" s="70"/>
      <x:c r="H56" s="70"/>
    </x:row>
  </x:sheetData>
  <x:mergeCells>
    <x:mergeCell ref="E5:H5"/>
    <x:mergeCell ref="A10:D10"/>
    <x:mergeCell ref="A20:D20"/>
    <x:mergeCell ref="A32:D32"/>
    <x:mergeCell ref="A41:D41"/>
    <x:mergeCell ref="A49:D49"/>
    <x:mergeCell ref="A56:H5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4" hidden="0" customWidth="1"/>
    <x:col min="2" max="2" width="62" hidden="0" customWidth="1"/>
    <x:col min="3" max="3" width="16" hidden="0" customWidth="1"/>
    <x:col min="4" max="4" width="24" hidden="0" customWidth="1"/>
    <x:col min="5" max="5" width="22" hidden="0" customWidth="1"/>
    <x:col min="6" max="6" width="34" hidden="0" customWidth="1"/>
    <x:col min="7" max="7" width="16" hidden="0" customWidth="1"/>
    <x:col min="8" max="8" width="18" hidden="0" customWidth="1"/>
    <x:col min="9" max="9" width="34" hidden="0" customWidth="1"/>
  </x:cols>
  <x:sheetData>
    <x:row r="2">
      <x:c r="A2" s="17" t="str">
        <x:v>ACTIVE ISSUES</x:v>
      </x:c>
    </x:row>
    <x:row r="3">
      <x:c r="A3" s="18" t="str">
        <x:v>All records with Status other than Done, sorted with production bugs first. Use this tab for the detailed In Progress and at-risk view.</x:v>
      </x:c>
      <x:c r="B3" s="18"/>
      <x:c r="C3" s="18"/>
      <x:c r="D3" s="18"/>
      <x:c r="E3" s="18"/>
      <x:c r="F3" s="18"/>
      <x:c r="G3" s="18"/>
      <x:c r="H3" s="18"/>
      <x:c r="I3" s="18"/>
    </x:row>
    <x:row r="5" ht="26" customHeight="1">
      <x:c r="A5" s="8" t="str">
        <x:v>Key</x:v>
      </x:c>
      <x:c r="B5" s="9" t="str">
        <x:v>Summary</x:v>
      </x:c>
      <x:c r="C5" s="9" t="str">
        <x:v>Issue Type</x:v>
      </x:c>
      <x:c r="D5" s="9" t="str">
        <x:v>Assignee</x:v>
      </x:c>
      <x:c r="E5" s="9" t="str">
        <x:v>Status</x:v>
      </x:c>
      <x:c r="F5" s="9" t="str">
        <x:v>Labels</x:v>
      </x:c>
      <x:c r="G5" s="9" t="str">
        <x:v>Production Bug</x:v>
      </x:c>
      <x:c r="H5" s="9" t="str">
        <x:v>Attention</x:v>
      </x:c>
      <x:c r="I5" s="10" t="str">
        <x:v>Next Step</x:v>
      </x:c>
    </x:row>
    <x:row r="6">
      <x:c r="A6" s="11" t="str">
        <x:v>HA30-13493</x:v>
      </x:c>
      <x:c r="B6" s="7" t="str">
        <x:v>Norton Client Issue in Production - Assigned Tag Range Displayed as "Not Assigned" in Add to Inventory Flow</x:v>
      </x:c>
      <x:c r="C6" s="6" t="str">
        <x:v>Bug</x:v>
      </x:c>
      <x:c r="D6" s="6" t="str">
        <x:v>Praveen Francis</x:v>
      </x:c>
      <x:c r="E6" s="6" t="str">
        <x:v>New / Open</x:v>
      </x:c>
      <x:c r="F6" s="7" t="str">
        <x:v>App, Dev, Prod, QA</x:v>
      </x:c>
      <x:c r="G6" s="6" t="str">
        <x:v>Yes</x:v>
      </x:c>
      <x:c r="H6" s="6" t="str">
        <x:v>Production risk</x:v>
      </x:c>
      <x:c r="I6" s="19" t="str">
        <x:v>Triage and prioritize production fix</x:v>
      </x:c>
    </x:row>
    <x:row r="7">
      <x:c r="A7" s="11" t="str">
        <x:v>HA30-14422</x:v>
      </x:c>
      <x:c r="B7" s="7" t="str">
        <x:v>Prod -Web ,For  Location Operation User other location records were displayed</x:v>
      </x:c>
      <x:c r="C7" s="6" t="str">
        <x:v>Bug</x:v>
      </x:c>
      <x:c r="D7" s="6" t="str">
        <x:v>gangappan</x:v>
      </x:c>
      <x:c r="E7" s="6" t="str">
        <x:v>New / Open</x:v>
      </x:c>
      <x:c r="F7" s="7" t="str">
        <x:v>App, Prod, QA, dev, web</x:v>
      </x:c>
      <x:c r="G7" s="6" t="str">
        <x:v>Yes</x:v>
      </x:c>
      <x:c r="H7" s="6" t="str">
        <x:v>Production risk</x:v>
      </x:c>
      <x:c r="I7" s="19" t="str">
        <x:v>Triage and prioritize production fix</x:v>
      </x:c>
    </x:row>
    <x:row r="8">
      <x:c r="A8" s="11" t="str">
        <x:v>HA30-14798</x:v>
      </x:c>
      <x:c r="B8" s="7" t="str">
        <x:v>Prod Issue - Customer Issue - Animals Missing in the Chute session</x:v>
      </x:c>
      <x:c r="C8" s="6" t="str">
        <x:v>Bug</x:v>
      </x:c>
      <x:c r="D8" s="6" t="str">
        <x:v>Praveen Francis</x:v>
      </x:c>
      <x:c r="E8" s="6" t="str">
        <x:v>New / Open</x:v>
      </x:c>
      <x:c r="F8" s="7" t="str">
        <x:v>App, Dev, Prod, QA</x:v>
      </x:c>
      <x:c r="G8" s="6" t="str">
        <x:v>Yes</x:v>
      </x:c>
      <x:c r="H8" s="6" t="str">
        <x:v>Production risk</x:v>
      </x:c>
      <x:c r="I8" s="19" t="str">
        <x:v>Triage and prioritize production fix</x:v>
      </x:c>
    </x:row>
    <x:row r="9">
      <x:c r="A9" s="11" t="str">
        <x:v>HA30-15131</x:v>
      </x:c>
      <x:c r="B9" s="7" t="str">
        <x:v>PROD: Calving Filter Is Not Working</x:v>
      </x:c>
      <x:c r="C9" s="6" t="str">
        <x:v>Task</x:v>
      </x:c>
      <x:c r="D9" s="6" t="str">
        <x:v>gangappan</x:v>
      </x:c>
      <x:c r="E9" s="6" t="str">
        <x:v>New / Open</x:v>
      </x:c>
      <x:c r="F9" s="7" t="str">
        <x:v>App, Dev, QA</x:v>
      </x:c>
      <x:c r="G9" s="6" t="str">
        <x:v>Yes</x:v>
      </x:c>
      <x:c r="H9" s="6" t="str">
        <x:v>Production risk</x:v>
      </x:c>
      <x:c r="I9" s="19" t="str">
        <x:v>Triage and prioritize production fix</x:v>
      </x:c>
    </x:row>
    <x:row r="10">
      <x:c r="A10" s="11" t="str">
        <x:v>HA30-15198</x:v>
      </x:c>
      <x:c r="B10" s="7" t="str">
        <x:v>Cedaco Range Issue - HSR is not assigned to their organization</x:v>
      </x:c>
      <x:c r="C10" s="6" t="str">
        <x:v>Bug</x:v>
      </x:c>
      <x:c r="D10" s="6" t="str">
        <x:v>Abraham</x:v>
      </x:c>
      <x:c r="E10" s="6" t="str">
        <x:v>New / Open</x:v>
      </x:c>
      <x:c r="F10" s="7" t="str">
        <x:v>App, Dev, Prod, QA</x:v>
      </x:c>
      <x:c r="G10" s="6" t="str">
        <x:v>Yes</x:v>
      </x:c>
      <x:c r="H10" s="6" t="str">
        <x:v>Production risk</x:v>
      </x:c>
      <x:c r="I10" s="19" t="str">
        <x:v>Triage and prioritize production fix</x:v>
      </x:c>
    </x:row>
    <x:row r="11">
      <x:c r="A11" s="11" t="str">
        <x:v>HA30-15008</x:v>
      </x:c>
      <x:c r="B11" s="7" t="str">
        <x:v>Azure Cost Analysis – Databricks Long-Running Job</x:v>
      </x:c>
      <x:c r="C11" s="6" t="str">
        <x:v>Bug</x:v>
      </x:c>
      <x:c r="D11" s="6" t="str">
        <x:v>Gladys Kirubavathi</x:v>
      </x:c>
      <x:c r="E11" s="6" t="str">
        <x:v>In Progress</x:v>
      </x:c>
      <x:c r="F11" s="7" t="str">
        <x:v>Analytics, Prod</x:v>
      </x:c>
      <x:c r="G11" s="6" t="str">
        <x:v>Yes</x:v>
      </x:c>
      <x:c r="H11" s="6" t="str">
        <x:v>Production risk</x:v>
      </x:c>
      <x:c r="I11" s="19" t="str">
        <x:v>Continue production fix</x:v>
      </x:c>
    </x:row>
    <x:row r="12">
      <x:c r="A12" s="11" t="str">
        <x:v>HA30-14471</x:v>
      </x:c>
      <x:c r="B12" s="7" t="str">
        <x:v>Prod - MedicineInventory - Other medicine type not listed in user medicine,  Old version if we update other medicine type , its shown blank in new app</x:v>
      </x:c>
      <x:c r="C12" s="6" t="str">
        <x:v>Bug</x:v>
      </x:c>
      <x:c r="D12" s="6" t="str">
        <x:v>Samuel Parker</x:v>
      </x:c>
      <x:c r="E12" s="6" t="str">
        <x:v>Ready for Testing</x:v>
      </x:c>
      <x:c r="F12" s="7" t="str">
        <x:v>App, Dev, Prod, QA</x:v>
      </x:c>
      <x:c r="G12" s="6" t="str">
        <x:v>Yes</x:v>
      </x:c>
      <x:c r="H12" s="6" t="str">
        <x:v>Production risk</x:v>
      </x:c>
      <x:c r="I12" s="19" t="str">
        <x:v>Complete production validation</x:v>
      </x:c>
    </x:row>
    <x:row r="13">
      <x:c r="A13" s="11" t="str">
        <x:v>HA30-14779</x:v>
      </x:c>
      <x:c r="B13" s="7" t="str">
        <x:v>Prod : Treatment history continuous sync</x:v>
      </x:c>
      <x:c r="C13" s="6" t="str">
        <x:v>Bug</x:v>
      </x:c>
      <x:c r="D13" s="6" t="str">
        <x:v>Samuel Parker</x:v>
      </x:c>
      <x:c r="E13" s="6" t="str">
        <x:v>Ready for Testing</x:v>
      </x:c>
      <x:c r="F13" s="7" t="str">
        <x:v>App, Dev, Prod, QA</x:v>
      </x:c>
      <x:c r="G13" s="6" t="str">
        <x:v>Yes</x:v>
      </x:c>
      <x:c r="H13" s="6" t="str">
        <x:v>Production risk</x:v>
      </x:c>
      <x:c r="I13" s="19" t="str">
        <x:v>Complete production validation</x:v>
      </x:c>
    </x:row>
    <x:row r="14">
      <x:c r="A14" s="11" t="str">
        <x:v>HA30-15029</x:v>
      </x:c>
      <x:c r="B14" s="7" t="str">
        <x:v>Bugs with Adding Sources</x:v>
      </x:c>
      <x:c r="C14" s="6" t="str">
        <x:v>Bug</x:v>
      </x:c>
      <x:c r="D14" s="6" t="str">
        <x:v>Samuel Parker</x:v>
      </x:c>
      <x:c r="E14" s="6" t="str">
        <x:v>Ready for Testing</x:v>
      </x:c>
      <x:c r="F14" s="7" t="str">
        <x:v>App, Dev, Prod, QA</x:v>
      </x:c>
      <x:c r="G14" s="6" t="str">
        <x:v>Yes</x:v>
      </x:c>
      <x:c r="H14" s="6" t="str">
        <x:v>Production risk</x:v>
      </x:c>
      <x:c r="I14" s="19" t="str">
        <x:v>Complete production validation</x:v>
      </x:c>
    </x:row>
    <x:row r="15">
      <x:c r="A15" s="11" t="str">
        <x:v>HA30-15171</x:v>
      </x:c>
      <x:c r="B15" s="7" t="str">
        <x:v>Feed Information Now Showing Up in Ogle Farms</x:v>
      </x:c>
      <x:c r="C15" s="6" t="str">
        <x:v>Bug</x:v>
      </x:c>
      <x:c r="D15" s="6" t="str">
        <x:v>Samuel Parker</x:v>
      </x:c>
      <x:c r="E15" s="6" t="str">
        <x:v>Ready for Testing</x:v>
      </x:c>
      <x:c r="F15" s="7" t="str">
        <x:v>App, Dev, Prod, QA</x:v>
      </x:c>
      <x:c r="G15" s="6" t="str">
        <x:v>Yes</x:v>
      </x:c>
      <x:c r="H15" s="6" t="str">
        <x:v>Production risk</x:v>
      </x:c>
      <x:c r="I15" s="19" t="str">
        <x:v>Complete production validation</x:v>
      </x:c>
    </x:row>
    <x:row r="16">
      <x:c r="A16" s="11" t="str">
        <x:v>HA30-15172</x:v>
      </x:c>
      <x:c r="B16" s="7" t="str">
        <x:v>Tag IDs not Showing Up in Inventory During Chute Session</x:v>
      </x:c>
      <x:c r="C16" s="6" t="str">
        <x:v>Bug</x:v>
      </x:c>
      <x:c r="D16" s="6" t="str">
        <x:v>Samuel Parker</x:v>
      </x:c>
      <x:c r="E16" s="6" t="str">
        <x:v>Ready for Testing</x:v>
      </x:c>
      <x:c r="F16" s="7" t="str">
        <x:v>App, Dev, Prod, QA</x:v>
      </x:c>
      <x:c r="G16" s="6" t="str">
        <x:v>Yes</x:v>
      </x:c>
      <x:c r="H16" s="6" t="str">
        <x:v>Production risk</x:v>
      </x:c>
      <x:c r="I16" s="19" t="str">
        <x:v>Complete production validation</x:v>
      </x:c>
    </x:row>
    <x:row r="17">
      <x:c r="A17" s="11" t="str">
        <x:v>HA30-15226</x:v>
      </x:c>
      <x:c r="B17" s="7" t="str">
        <x:v>Prod Web: Deleted Tag – Deleted Date Ascending/Descending Sort Filter Not Working</x:v>
      </x:c>
      <x:c r="C17" s="6" t="str">
        <x:v>Bug</x:v>
      </x:c>
      <x:c r="D17" s="6" t="str">
        <x:v>Alpa Mori</x:v>
      </x:c>
      <x:c r="E17" s="6" t="str">
        <x:v>Ready for Testing</x:v>
      </x:c>
      <x:c r="F17" s="7" t="str">
        <x:v>App, Dev, Prod, QA</x:v>
      </x:c>
      <x:c r="G17" s="6" t="str">
        <x:v>Yes</x:v>
      </x:c>
      <x:c r="H17" s="6" t="str">
        <x:v>Production risk</x:v>
      </x:c>
      <x:c r="I17" s="19" t="str">
        <x:v>Complete production validation</x:v>
      </x:c>
    </x:row>
    <x:row r="18">
      <x:c r="A18" s="11" t="str">
        <x:v>HA30-15257</x:v>
      </x:c>
      <x:c r="B18" s="7" t="str">
        <x:v>Production: Activity log- Upload Excel  ,Under Treatment details should not be shown</x:v>
      </x:c>
      <x:c r="C18" s="6" t="str">
        <x:v>Bug</x:v>
      </x:c>
      <x:c r="D18" s="6" t="str">
        <x:v>Allwin. T</x:v>
      </x:c>
      <x:c r="E18" s="6" t="str">
        <x:v>Ready for Testing</x:v>
      </x:c>
      <x:c r="F18" s="7" t="str">
        <x:v>Dev, Prod, QA</x:v>
      </x:c>
      <x:c r="G18" s="6" t="str">
        <x:v>Yes</x:v>
      </x:c>
      <x:c r="H18" s="6" t="str">
        <x:v>Production risk</x:v>
      </x:c>
      <x:c r="I18" s="19" t="str">
        <x:v>Complete production validation</x:v>
      </x:c>
    </x:row>
    <x:row r="19">
      <x:c r="A19" s="11" t="str">
        <x:v>HA30-15100</x:v>
      </x:c>
      <x:c r="B19" s="7" t="str">
        <x:v>PROD: Cedaco Ranch - Counting Session Export Issue</x:v>
      </x:c>
      <x:c r="C19" s="6" t="str">
        <x:v>Bug</x:v>
      </x:c>
      <x:c r="D19" s="6" t="str">
        <x:v>Candace Adams</x:v>
      </x:c>
      <x:c r="E19" s="6" t="str">
        <x:v>HerdX Accepted</x:v>
      </x:c>
      <x:c r="F19" s="7" t="str">
        <x:v>App, Dev, Prod, QA</x:v>
      </x:c>
      <x:c r="G19" s="6" t="str">
        <x:v>Yes</x:v>
      </x:c>
      <x:c r="H19" s="6" t="str">
        <x:v>Production risk</x:v>
      </x:c>
      <x:c r="I19" s="19" t="str">
        <x:v>Confirm disposition and close</x:v>
      </x:c>
    </x:row>
    <x:row r="20">
      <x:c r="A20" s="11" t="str">
        <x:v>HA30-15070</x:v>
      </x:c>
      <x:c r="B20" s="7" t="str">
        <x:v>Prod - Not able to create location to location Transfer</x:v>
      </x:c>
      <x:c r="C20" s="6" t="str">
        <x:v>Bug</x:v>
      </x:c>
      <x:c r="D20" s="6" t="str">
        <x:v>Abraham</x:v>
      </x:c>
      <x:c r="E20" s="6" t="str">
        <x:v>Cannot Reproduce</x:v>
      </x:c>
      <x:c r="F20" s="7" t="str">
        <x:v>App, Dev, Prod, QA, Regression</x:v>
      </x:c>
      <x:c r="G20" s="6" t="str">
        <x:v>Yes</x:v>
      </x:c>
      <x:c r="H20" s="6" t="str">
        <x:v>Production risk</x:v>
      </x:c>
      <x:c r="I20" s="19" t="str">
        <x:v>Confirm reproduction outcome</x:v>
      </x:c>
    </x:row>
    <x:row r="21">
      <x:c r="A21" s="11" t="str">
        <x:v>HA30-13467</x:v>
      </x:c>
      <x:c r="B21" s="7" t="str">
        <x:v>Crash analytics - R6ReaderCardAndroidState.r6Item.</x:v>
      </x:c>
      <x:c r="C21" s="6" t="str">
        <x:v>Bug</x:v>
      </x:c>
      <x:c r="D21" s="6" t="str">
        <x:v>Abraham</x:v>
      </x:c>
      <x:c r="E21" s="6" t="str">
        <x:v>New / Open</x:v>
      </x:c>
      <x:c r="F21" s="7" t="str">
        <x:v>App, Dev, Firebase, QA</x:v>
      </x:c>
      <x:c r="G21" s="6" t="str">
        <x:v>No</x:v>
      </x:c>
      <x:c r="H21" s="6" t="str">
        <x:v>New / Open</x:v>
      </x:c>
      <x:c r="I21" s="19" t="str">
        <x:v>Triage and plan</x:v>
      </x:c>
    </x:row>
    <x:row r="22">
      <x:c r="A22" s="11" t="str">
        <x:v>HA30-14249</x:v>
      </x:c>
      <x:c r="B22" s="7" t="str">
        <x:v>ATI - Manual entry - Message needs to be updated when switching from one tag type to another</x:v>
      </x:c>
      <x:c r="C22" s="6" t="str">
        <x:v>Improvement</x:v>
      </x:c>
      <x:c r="D22" s="6" t="str"/>
      <x:c r="E22" s="6" t="str">
        <x:v>New / Open</x:v>
      </x:c>
      <x:c r="F22" s="7" t="str">
        <x:v>App</x:v>
      </x:c>
      <x:c r="G22" s="6" t="str">
        <x:v>No</x:v>
      </x:c>
      <x:c r="H22" s="6" t="str">
        <x:v>Owner needed</x:v>
      </x:c>
      <x:c r="I22" s="19" t="str">
        <x:v>Assign owner</x:v>
      </x:c>
    </x:row>
    <x:row r="23">
      <x:c r="A23" s="11" t="str">
        <x:v>HA30-14319</x:v>
      </x:c>
      <x:c r="B23" s="7" t="str">
        <x:v>Export Excel – Improve Alignment of the Glass Tag/Implant Column Within the Additional IDs Group</x:v>
      </x:c>
      <x:c r="C23" s="6" t="str">
        <x:v>Improvement</x:v>
      </x:c>
      <x:c r="D23" s="6" t="str">
        <x:v>samuel kishore kumar</x:v>
      </x:c>
      <x:c r="E23" s="6" t="str">
        <x:v>New / Open</x:v>
      </x:c>
      <x:c r="F23" s="7" t="str"/>
      <x:c r="G23" s="6" t="str">
        <x:v>No</x:v>
      </x:c>
      <x:c r="H23" s="6" t="str">
        <x:v>New / Open</x:v>
      </x:c>
      <x:c r="I23" s="19" t="str">
        <x:v>Triage and plan</x:v>
      </x:c>
    </x:row>
    <x:row r="24">
      <x:c r="A24" s="11" t="str">
        <x:v>HA30-14460</x:v>
      </x:c>
      <x:c r="B24" s="7" t="str">
        <x:v>Shift Spacing on Inventory Page for Desktop Version</x:v>
      </x:c>
      <x:c r="C24" s="6" t="str">
        <x:v>Improvement</x:v>
      </x:c>
      <x:c r="D24" s="6" t="str">
        <x:v>Saravana Kumar M</x:v>
      </x:c>
      <x:c r="E24" s="6" t="str">
        <x:v>New / Open</x:v>
      </x:c>
      <x:c r="F24" s="7" t="str"/>
      <x:c r="G24" s="6" t="str">
        <x:v>No</x:v>
      </x:c>
      <x:c r="H24" s="6" t="str">
        <x:v>New / Open</x:v>
      </x:c>
      <x:c r="I24" s="19" t="str">
        <x:v>Triage and plan</x:v>
      </x:c>
    </x:row>
    <x:row r="25">
      <x:c r="A25" s="11" t="str">
        <x:v>HA30-14594</x:v>
      </x:c>
      <x:c r="B25" s="7" t="str">
        <x:v>Azure Databricks workspace entitlement changes</x:v>
      </x:c>
      <x:c r="C25" s="6" t="str">
        <x:v>Task</x:v>
      </x:c>
      <x:c r="D25" s="6" t="str">
        <x:v>Gladys Kirubavathi</x:v>
      </x:c>
      <x:c r="E25" s="6" t="str">
        <x:v>New / Open</x:v>
      </x:c>
      <x:c r="F25" s="7" t="str"/>
      <x:c r="G25" s="6" t="str">
        <x:v>No</x:v>
      </x:c>
      <x:c r="H25" s="6" t="str">
        <x:v>New / Open</x:v>
      </x:c>
      <x:c r="I25" s="19" t="str">
        <x:v>Triage and plan</x:v>
      </x:c>
    </x:row>
    <x:row r="26">
      <x:c r="A26" s="11" t="str">
        <x:v>HA30-14595</x:v>
      </x:c>
      <x:c r="B26" s="7" t="str">
        <x:v>Access to the Google Cloud console</x:v>
      </x:c>
      <x:c r="C26" s="6" t="str">
        <x:v>Task</x:v>
      </x:c>
      <x:c r="D26" s="6" t="str">
        <x:v>samuel kishore kumar</x:v>
      </x:c>
      <x:c r="E26" s="6" t="str">
        <x:v>New / Open</x:v>
      </x:c>
      <x:c r="F26" s="7" t="str"/>
      <x:c r="G26" s="6" t="str">
        <x:v>No</x:v>
      </x:c>
      <x:c r="H26" s="6" t="str">
        <x:v>New / Open</x:v>
      </x:c>
      <x:c r="I26" s="19" t="str">
        <x:v>Triage and plan</x:v>
      </x:c>
    </x:row>
    <x:row r="27">
      <x:c r="A27" s="11" t="str">
        <x:v>HA30-14596</x:v>
      </x:c>
      <x:c r="B27" s="7" t="str">
        <x:v>Investigate inconsistent HSR RFID tag reading performance during load-out at Riley Livestock</x:v>
      </x:c>
      <x:c r="C27" s="6" t="str">
        <x:v>Task</x:v>
      </x:c>
      <x:c r="D27" s="6" t="str">
        <x:v>Abraham</x:v>
      </x:c>
      <x:c r="E27" s="6" t="str">
        <x:v>New / Open</x:v>
      </x:c>
      <x:c r="F27" s="7" t="str"/>
      <x:c r="G27" s="6" t="str">
        <x:v>No</x:v>
      </x:c>
      <x:c r="H27" s="6" t="str">
        <x:v>New / Open</x:v>
      </x:c>
      <x:c r="I27" s="19" t="str">
        <x:v>Triage and plan</x:v>
      </x:c>
    </x:row>
    <x:row r="28">
      <x:c r="A28" s="11" t="str">
        <x:v>HA30-14734</x:v>
      </x:c>
      <x:c r="B28" s="7" t="str">
        <x:v>Firebase Extensions decommission on Mar 31, 2027</x:v>
      </x:c>
      <x:c r="C28" s="6" t="str">
        <x:v>Task</x:v>
      </x:c>
      <x:c r="D28" s="6" t="str">
        <x:v>samuel kishore kumar</x:v>
      </x:c>
      <x:c r="E28" s="6" t="str">
        <x:v>New / Open</x:v>
      </x:c>
      <x:c r="F28" s="7" t="str"/>
      <x:c r="G28" s="6" t="str">
        <x:v>No</x:v>
      </x:c>
      <x:c r="H28" s="6" t="str">
        <x:v>New / Open</x:v>
      </x:c>
      <x:c r="I28" s="19" t="str">
        <x:v>Triage and plan</x:v>
      </x:c>
    </x:row>
    <x:row r="29">
      <x:c r="A29" s="11" t="str">
        <x:v>HA30-14833</x:v>
      </x:c>
      <x:c r="B29" s="7" t="str">
        <x:v>Dashboard STR - Implement the functionality for top 4 KPI cards</x:v>
      </x:c>
      <x:c r="C29" s="6" t="str">
        <x:v>Story</x:v>
      </x:c>
      <x:c r="D29" s="6" t="str">
        <x:v>Alpa Mori</x:v>
      </x:c>
      <x:c r="E29" s="6" t="str">
        <x:v>New / Open</x:v>
      </x:c>
      <x:c r="F29" s="7" t="str">
        <x:v>App</x:v>
      </x:c>
      <x:c r="G29" s="6" t="str">
        <x:v>No</x:v>
      </x:c>
      <x:c r="H29" s="6" t="str">
        <x:v>New / Open</x:v>
      </x:c>
      <x:c r="I29" s="19" t="str">
        <x:v>Triage and plan</x:v>
      </x:c>
    </x:row>
    <x:row r="30">
      <x:c r="A30" s="11" t="str">
        <x:v>HA30-14898</x:v>
      </x:c>
      <x:c r="B30" s="7" t="str">
        <x:v>Present Animal History Instead of Enclosure Movement History</x:v>
      </x:c>
      <x:c r="C30" s="6" t="str">
        <x:v>Story</x:v>
      </x:c>
      <x:c r="D30" s="6" t="str"/>
      <x:c r="E30" s="6" t="str">
        <x:v>New / Open</x:v>
      </x:c>
      <x:c r="F30" s="7" t="str">
        <x:v>App</x:v>
      </x:c>
      <x:c r="G30" s="6" t="str">
        <x:v>No</x:v>
      </x:c>
      <x:c r="H30" s="6" t="str">
        <x:v>Owner needed</x:v>
      </x:c>
      <x:c r="I30" s="19" t="str">
        <x:v>Assign owner</x:v>
      </x:c>
    </x:row>
    <x:row r="31">
      <x:c r="A31" s="11" t="str">
        <x:v>HA30-14977</x:v>
      </x:c>
      <x:c r="B31" s="7" t="str">
        <x:v>Activity Log – Undo Button Is Missing for “Add to Inventory” Activity(TAB VIEW)</x:v>
      </x:c>
      <x:c r="C31" s="6" t="str">
        <x:v>Bug</x:v>
      </x:c>
      <x:c r="D31" s="6" t="str">
        <x:v>Raji S</x:v>
      </x:c>
      <x:c r="E31" s="6" t="str">
        <x:v>New / Open</x:v>
      </x:c>
      <x:c r="F31" s="7" t="str">
        <x:v>App, Dev, QA</x:v>
      </x:c>
      <x:c r="G31" s="6" t="str">
        <x:v>No</x:v>
      </x:c>
      <x:c r="H31" s="6" t="str">
        <x:v>New / Open</x:v>
      </x:c>
      <x:c r="I31" s="19" t="str">
        <x:v>Triage and plan</x:v>
      </x:c>
    </x:row>
    <x:row r="32">
      <x:c r="A32" s="11" t="str">
        <x:v>HA30-14979</x:v>
      </x:c>
      <x:c r="B32" s="7" t="str">
        <x:v>Activity Log – “Treatment Added” Records Are Not Displayed and Undo Button is missing (Tab View)</x:v>
      </x:c>
      <x:c r="C32" s="6" t="str">
        <x:v>Bug</x:v>
      </x:c>
      <x:c r="D32" s="6" t="str"/>
      <x:c r="E32" s="6" t="str">
        <x:v>New / Open</x:v>
      </x:c>
      <x:c r="F32" s="7" t="str">
        <x:v>App, Dev, QA</x:v>
      </x:c>
      <x:c r="G32" s="6" t="str">
        <x:v>No</x:v>
      </x:c>
      <x:c r="H32" s="6" t="str">
        <x:v>Owner needed</x:v>
      </x:c>
      <x:c r="I32" s="19" t="str">
        <x:v>Assign owner</x:v>
      </x:c>
    </x:row>
    <x:row r="33">
      <x:c r="A33" s="11" t="str">
        <x:v>HA30-14997</x:v>
      </x:c>
      <x:c r="B33" s="7" t="str">
        <x:v>Validate R6 Reader Output Power Based on Detection Setting</x:v>
      </x:c>
      <x:c r="C33" s="6" t="str">
        <x:v>Story</x:v>
      </x:c>
      <x:c r="D33" s="6" t="str">
        <x:v>Allwin. T</x:v>
      </x:c>
      <x:c r="E33" s="6" t="str">
        <x:v>New / Open</x:v>
      </x:c>
      <x:c r="F33" s="7" t="str"/>
      <x:c r="G33" s="6" t="str">
        <x:v>No</x:v>
      </x:c>
      <x:c r="H33" s="6" t="str">
        <x:v>New / Open</x:v>
      </x:c>
      <x:c r="I33" s="19" t="str">
        <x:v>Triage and plan</x:v>
      </x:c>
    </x:row>
    <x:row r="34">
      <x:c r="A34" s="11" t="str">
        <x:v>HA30-15040</x:v>
      </x:c>
      <x:c r="B34" s="7" t="str">
        <x:v>Activity Log - Common function for Upload Excel</x:v>
      </x:c>
      <x:c r="C34" s="6" t="str">
        <x:v>Story</x:v>
      </x:c>
      <x:c r="D34" s="6" t="str">
        <x:v>Alpa Mori</x:v>
      </x:c>
      <x:c r="E34" s="6" t="str">
        <x:v>New / Open</x:v>
      </x:c>
      <x:c r="F34" s="7" t="str"/>
      <x:c r="G34" s="6" t="str">
        <x:v>No</x:v>
      </x:c>
      <x:c r="H34" s="6" t="str">
        <x:v>New / Open</x:v>
      </x:c>
      <x:c r="I34" s="19" t="str">
        <x:v>Triage and plan</x:v>
      </x:c>
    </x:row>
    <x:row r="35">
      <x:c r="A35" s="11" t="str">
        <x:v>HA30-15073</x:v>
      </x:c>
      <x:c r="B35" s="7" t="str">
        <x:v>Deployment for Sprint 101</x:v>
      </x:c>
      <x:c r="C35" s="6" t="str">
        <x:v>Story</x:v>
      </x:c>
      <x:c r="D35" s="6" t="str">
        <x:v>Abraham</x:v>
      </x:c>
      <x:c r="E35" s="6" t="str">
        <x:v>New / Open</x:v>
      </x:c>
      <x:c r="F35" s="7" t="str">
        <x:v>App, Deployment</x:v>
      </x:c>
      <x:c r="G35" s="6" t="str">
        <x:v>No</x:v>
      </x:c>
      <x:c r="H35" s="6" t="str">
        <x:v>New / Open</x:v>
      </x:c>
      <x:c r="I35" s="19" t="str">
        <x:v>Triage and plan</x:v>
      </x:c>
    </x:row>
    <x:row r="36">
      <x:c r="A36" s="11" t="str">
        <x:v>HA30-15101</x:v>
      </x:c>
      <x:c r="B36" s="7" t="str">
        <x:v>Firebase Crash - View.of FlutterError - Null check operator used on a null value</x:v>
      </x:c>
      <x:c r="C36" s="6" t="str">
        <x:v>Bug</x:v>
      </x:c>
      <x:c r="D36" s="6" t="str">
        <x:v>Alpa Mori</x:v>
      </x:c>
      <x:c r="E36" s="6" t="str">
        <x:v>New / Open</x:v>
      </x:c>
      <x:c r="F36" s="7" t="str">
        <x:v>App, Dev, Firebase, QA</x:v>
      </x:c>
      <x:c r="G36" s="6" t="str">
        <x:v>No</x:v>
      </x:c>
      <x:c r="H36" s="6" t="str">
        <x:v>New / Open</x:v>
      </x:c>
      <x:c r="I36" s="19" t="str">
        <x:v>Triage and plan</x:v>
      </x:c>
    </x:row>
    <x:row r="37">
      <x:c r="A37" s="11" t="str">
        <x:v>HA30-15114</x:v>
      </x:c>
      <x:c r="B37" s="7" t="str">
        <x:v>Implement HerdView SnapView Report in Flutter</x:v>
      </x:c>
      <x:c r="C37" s="6" t="str">
        <x:v>Story</x:v>
      </x:c>
      <x:c r="D37" s="6" t="str">
        <x:v>Muhundhan E</x:v>
      </x:c>
      <x:c r="E37" s="6" t="str">
        <x:v>New / Open</x:v>
      </x:c>
      <x:c r="F37" s="7" t="str">
        <x:v>App</x:v>
      </x:c>
      <x:c r="G37" s="6" t="str">
        <x:v>No</x:v>
      </x:c>
      <x:c r="H37" s="6" t="str">
        <x:v>New / Open</x:v>
      </x:c>
      <x:c r="I37" s="19" t="str">
        <x:v>Triage and plan</x:v>
      </x:c>
    </x:row>
    <x:row r="38">
      <x:c r="A38" s="11" t="str">
        <x:v>HA30-15142</x:v>
      </x:c>
      <x:c r="B38" s="7" t="str">
        <x:v>SnapView Report - Database Schema architecture &amp; Data migration engine</x:v>
      </x:c>
      <x:c r="C38" s="6" t="str">
        <x:v>Story</x:v>
      </x:c>
      <x:c r="D38" s="6" t="str">
        <x:v>samuel kishore kumar</x:v>
      </x:c>
      <x:c r="E38" s="6" t="str">
        <x:v>New / Open</x:v>
      </x:c>
      <x:c r="F38" s="7" t="str">
        <x:v>App</x:v>
      </x:c>
      <x:c r="G38" s="6" t="str">
        <x:v>No</x:v>
      </x:c>
      <x:c r="H38" s="6" t="str">
        <x:v>New / Open</x:v>
      </x:c>
      <x:c r="I38" s="19" t="str">
        <x:v>Triage and plan</x:v>
      </x:c>
    </x:row>
    <x:row r="39">
      <x:c r="A39" s="11" t="str">
        <x:v>HA30-15143</x:v>
      </x:c>
      <x:c r="B39" s="7" t="str">
        <x:v>SnapView Report - Core KPI engine and Financial outcome resolvers</x:v>
      </x:c>
      <x:c r="C39" s="6" t="str">
        <x:v>Story</x:v>
      </x:c>
      <x:c r="D39" s="6" t="str">
        <x:v>samuel kishore kumar</x:v>
      </x:c>
      <x:c r="E39" s="6" t="str">
        <x:v>New / Open</x:v>
      </x:c>
      <x:c r="F39" s="7" t="str">
        <x:v>App</x:v>
      </x:c>
      <x:c r="G39" s="6" t="str">
        <x:v>No</x:v>
      </x:c>
      <x:c r="H39" s="6" t="str">
        <x:v>New / Open</x:v>
      </x:c>
      <x:c r="I39" s="19" t="str">
        <x:v>Triage and plan</x:v>
      </x:c>
    </x:row>
    <x:row r="40">
      <x:c r="A40" s="11" t="str">
        <x:v>HA30-15144</x:v>
      </x:c>
      <x:c r="B40" s="7" t="str">
        <x:v>SnapView Report - Distribution Analytics: Time on Yard &amp; Demographics</x:v>
      </x:c>
      <x:c r="C40" s="6" t="str">
        <x:v>Story</x:v>
      </x:c>
      <x:c r="D40" s="6" t="str">
        <x:v>samuel kishore kumar</x:v>
      </x:c>
      <x:c r="E40" s="6" t="str">
        <x:v>New / Open</x:v>
      </x:c>
      <x:c r="F40" s="7" t="str">
        <x:v>App</x:v>
      </x:c>
      <x:c r="G40" s="6" t="str">
        <x:v>No</x:v>
      </x:c>
      <x:c r="H40" s="6" t="str">
        <x:v>New / Open</x:v>
      </x:c>
      <x:c r="I40" s="19" t="str">
        <x:v>Triage and plan</x:v>
      </x:c>
    </x:row>
    <x:row r="41">
      <x:c r="A41" s="11" t="str">
        <x:v>HA30-15145</x:v>
      </x:c>
      <x:c r="B41" s="7" t="str">
        <x:v>Real-Time Sync Pipeline, Dead-Letter Queue &amp; Health Engine</x:v>
      </x:c>
      <x:c r="C41" s="6" t="str">
        <x:v>Story</x:v>
      </x:c>
      <x:c r="D41" s="6" t="str">
        <x:v>samuel kishore kumar</x:v>
      </x:c>
      <x:c r="E41" s="6" t="str">
        <x:v>New / Open</x:v>
      </x:c>
      <x:c r="F41" s="7" t="str">
        <x:v>App</x:v>
      </x:c>
      <x:c r="G41" s="6" t="str">
        <x:v>No</x:v>
      </x:c>
      <x:c r="H41" s="6" t="str">
        <x:v>New / Open</x:v>
      </x:c>
      <x:c r="I41" s="19" t="str">
        <x:v>Triage and plan</x:v>
      </x:c>
    </x:row>
    <x:row r="42">
      <x:c r="A42" s="11" t="str">
        <x:v>HA30-15146</x:v>
      </x:c>
      <x:c r="B42" s="7" t="str">
        <x:v>Geospatial Mapping Engine &amp; Treatment Medicine Analytics</x:v>
      </x:c>
      <x:c r="C42" s="6" t="str">
        <x:v>Story</x:v>
      </x:c>
      <x:c r="D42" s="6" t="str">
        <x:v>samuel kishore kumar</x:v>
      </x:c>
      <x:c r="E42" s="6" t="str">
        <x:v>New / Open</x:v>
      </x:c>
      <x:c r="F42" s="7" t="str">
        <x:v>App</x:v>
      </x:c>
      <x:c r="G42" s="6" t="str">
        <x:v>No</x:v>
      </x:c>
      <x:c r="H42" s="6" t="str">
        <x:v>New / Open</x:v>
      </x:c>
      <x:c r="I42" s="19" t="str">
        <x:v>Triage and plan</x:v>
      </x:c>
    </x:row>
    <x:row r="43">
      <x:c r="A43" s="11" t="str">
        <x:v>HA30-15147</x:v>
      </x:c>
      <x:c r="B43" s="7" t="str">
        <x:v>Filter Discovery, Index Tuning, Caching</x:v>
      </x:c>
      <x:c r="C43" s="6" t="str">
        <x:v>Story</x:v>
      </x:c>
      <x:c r="D43" s="6" t="str">
        <x:v>samuel kishore kumar</x:v>
      </x:c>
      <x:c r="E43" s="6" t="str">
        <x:v>New / Open</x:v>
      </x:c>
      <x:c r="F43" s="7" t="str">
        <x:v>App</x:v>
      </x:c>
      <x:c r="G43" s="6" t="str">
        <x:v>No</x:v>
      </x:c>
      <x:c r="H43" s="6" t="str">
        <x:v>New / Open</x:v>
      </x:c>
      <x:c r="I43" s="19" t="str">
        <x:v>Triage and plan</x:v>
      </x:c>
    </x:row>
    <x:row r="44">
      <x:c r="A44" s="11" t="str">
        <x:v>HA30-15149</x:v>
      </x:c>
      <x:c r="B44" s="7" t="str">
        <x:v>Backdate AI Breeding Date</x:v>
      </x:c>
      <x:c r="C44" s="6" t="str">
        <x:v>Task</x:v>
      </x:c>
      <x:c r="D44" s="6" t="str">
        <x:v>gangappan</x:v>
      </x:c>
      <x:c r="E44" s="6" t="str">
        <x:v>New / Open</x:v>
      </x:c>
      <x:c r="F44" s="7" t="str">
        <x:v>App, Dev, QA</x:v>
      </x:c>
      <x:c r="G44" s="6" t="str">
        <x:v>No</x:v>
      </x:c>
      <x:c r="H44" s="6" t="str">
        <x:v>New / Open</x:v>
      </x:c>
      <x:c r="I44" s="19" t="str">
        <x:v>Triage and plan</x:v>
      </x:c>
    </x:row>
    <x:row r="45">
      <x:c r="A45" s="11" t="str">
        <x:v>HA30-15156</x:v>
      </x:c>
      <x:c r="B45" s="7" t="str">
        <x:v>Display Informative Message When Deleting a Breed Assigned to Animals</x:v>
      </x:c>
      <x:c r="C45" s="6" t="str">
        <x:v>Improvement</x:v>
      </x:c>
      <x:c r="D45" s="6" t="str">
        <x:v>samuel kishore kumar</x:v>
      </x:c>
      <x:c r="E45" s="6" t="str">
        <x:v>New / Open</x:v>
      </x:c>
      <x:c r="F45" s="7" t="str">
        <x:v>App, Dev, QA</x:v>
      </x:c>
      <x:c r="G45" s="6" t="str">
        <x:v>No</x:v>
      </x:c>
      <x:c r="H45" s="6" t="str">
        <x:v>New / Open</x:v>
      </x:c>
      <x:c r="I45" s="19" t="str">
        <x:v>Triage and plan</x:v>
      </x:c>
    </x:row>
    <x:row r="46">
      <x:c r="A46" s="11" t="str">
        <x:v>HA30-15178</x:v>
      </x:c>
      <x:c r="B46" s="7" t="str">
        <x:v>Enable Firebase Crashlytics Reporting in Staging Environment</x:v>
      </x:c>
      <x:c r="C46" s="6" t="str">
        <x:v>Story</x:v>
      </x:c>
      <x:c r="D46" s="6" t="str">
        <x:v>samuel kishore kumar</x:v>
      </x:c>
      <x:c r="E46" s="6" t="str">
        <x:v>New / Open</x:v>
      </x:c>
      <x:c r="F46" s="7" t="str">
        <x:v>App</x:v>
      </x:c>
      <x:c r="G46" s="6" t="str">
        <x:v>No</x:v>
      </x:c>
      <x:c r="H46" s="6" t="str">
        <x:v>New / Open</x:v>
      </x:c>
      <x:c r="I46" s="19" t="str">
        <x:v>Triage and plan</x:v>
      </x:c>
    </x:row>
    <x:row r="47">
      <x:c r="A47" s="11" t="str">
        <x:v>HA30-15194</x:v>
      </x:c>
      <x:c r="B47" s="7" t="str">
        <x:v>Chute Session - Save button not enabled for the new tags</x:v>
      </x:c>
      <x:c r="C47" s="6" t="str">
        <x:v>Bug</x:v>
      </x:c>
      <x:c r="D47" s="6" t="str">
        <x:v>Abraham</x:v>
      </x:c>
      <x:c r="E47" s="6" t="str">
        <x:v>New / Open</x:v>
      </x:c>
      <x:c r="F47" s="7" t="str">
        <x:v>App, Dev, QA</x:v>
      </x:c>
      <x:c r="G47" s="6" t="str">
        <x:v>No</x:v>
      </x:c>
      <x:c r="H47" s="6" t="str">
        <x:v>New / Open</x:v>
      </x:c>
      <x:c r="I47" s="19" t="str">
        <x:v>Triage and plan</x:v>
      </x:c>
    </x:row>
    <x:row r="48">
      <x:c r="A48" s="11" t="str">
        <x:v>HA30-15196</x:v>
      </x:c>
      <x:c r="B48" s="7" t="str">
        <x:v>Complete Android developer verification registration</x:v>
      </x:c>
      <x:c r="C48" s="6" t="str">
        <x:v>Task</x:v>
      </x:c>
      <x:c r="D48" s="6" t="str">
        <x:v>samuel kishore kumar</x:v>
      </x:c>
      <x:c r="E48" s="6" t="str">
        <x:v>New / Open</x:v>
      </x:c>
      <x:c r="F48" s="7" t="str">
        <x:v>App, Dev</x:v>
      </x:c>
      <x:c r="G48" s="6" t="str">
        <x:v>No</x:v>
      </x:c>
      <x:c r="H48" s="6" t="str">
        <x:v>New / Open</x:v>
      </x:c>
      <x:c r="I48" s="19" t="str">
        <x:v>Triage and plan</x:v>
      </x:c>
    </x:row>
    <x:row r="49">
      <x:c r="A49" s="11" t="str">
        <x:v>HA30-15204</x:v>
      </x:c>
      <x:c r="B49" s="7" t="str">
        <x:v>Identify and Disable Unnecessary Report Refreshes and Related Jobs</x:v>
      </x:c>
      <x:c r="C49" s="6" t="str">
        <x:v>Task</x:v>
      </x:c>
      <x:c r="D49" s="6" t="str"/>
      <x:c r="E49" s="6" t="str">
        <x:v>New / Open</x:v>
      </x:c>
      <x:c r="F49" s="7" t="str"/>
      <x:c r="G49" s="6" t="str">
        <x:v>No</x:v>
      </x:c>
      <x:c r="H49" s="6" t="str">
        <x:v>Owner needed</x:v>
      </x:c>
      <x:c r="I49" s="19" t="str">
        <x:v>Assign owner</x:v>
      </x:c>
    </x:row>
    <x:row r="50">
      <x:c r="A50" s="11" t="str">
        <x:v>HA30-15211</x:v>
      </x:c>
      <x:c r="B50" s="7" t="str">
        <x:v>Herdview SnapView: Data displayed in HerdView SnapView is not matching between the Web and App versions.</x:v>
      </x:c>
      <x:c r="C50" s="6" t="str">
        <x:v>Bug</x:v>
      </x:c>
      <x:c r="D50" s="6" t="str">
        <x:v>samuel kishore kumar</x:v>
      </x:c>
      <x:c r="E50" s="6" t="str">
        <x:v>New / Open</x:v>
      </x:c>
      <x:c r="F50" s="7" t="str">
        <x:v>App, Dev, QA</x:v>
      </x:c>
      <x:c r="G50" s="6" t="str">
        <x:v>No</x:v>
      </x:c>
      <x:c r="H50" s="6" t="str">
        <x:v>New / Open</x:v>
      </x:c>
      <x:c r="I50" s="19" t="str">
        <x:v>Triage and plan</x:v>
      </x:c>
    </x:row>
    <x:row r="51">
      <x:c r="A51" s="11" t="str">
        <x:v>HA30-15212</x:v>
      </x:c>
      <x:c r="B51" s="7" t="str">
        <x:v>HerdView SnapView: Animal Status by Sex/Type : "Vaquilla" Is Incorrectly Displayed</x:v>
      </x:c>
      <x:c r="C51" s="6" t="str">
        <x:v>Bug</x:v>
      </x:c>
      <x:c r="D51" s="6" t="str">
        <x:v>samuel kishore kumar</x:v>
      </x:c>
      <x:c r="E51" s="6" t="str">
        <x:v>New / Open</x:v>
      </x:c>
      <x:c r="F51" s="7" t="str">
        <x:v>App, Dev, QA</x:v>
      </x:c>
      <x:c r="G51" s="6" t="str">
        <x:v>No</x:v>
      </x:c>
      <x:c r="H51" s="6" t="str">
        <x:v>New / Open</x:v>
      </x:c>
      <x:c r="I51" s="19" t="str">
        <x:v>Triage and plan</x:v>
      </x:c>
    </x:row>
    <x:row r="52">
      <x:c r="A52" s="11" t="str">
        <x:v>HA30-15220</x:v>
      </x:c>
      <x:c r="B52" s="7" t="str">
        <x:v>Staging Release 5.0.152 (10) for IOS, Android and Web</x:v>
      </x:c>
      <x:c r="C52" s="6" t="str">
        <x:v>Task</x:v>
      </x:c>
      <x:c r="D52" s="6" t="str">
        <x:v>Abraham</x:v>
      </x:c>
      <x:c r="E52" s="6" t="str">
        <x:v>New / Open</x:v>
      </x:c>
      <x:c r="F52" s="7" t="str">
        <x:v>App, Deployment</x:v>
      </x:c>
      <x:c r="G52" s="6" t="str">
        <x:v>No</x:v>
      </x:c>
      <x:c r="H52" s="6" t="str">
        <x:v>New / Open</x:v>
      </x:c>
      <x:c r="I52" s="19" t="str">
        <x:v>Triage and plan</x:v>
      </x:c>
    </x:row>
    <x:row r="53">
      <x:c r="A53" s="11" t="str">
        <x:v>HA30-15223</x:v>
      </x:c>
      <x:c r="B53" s="7" t="str">
        <x:v>Duplicate Activities Are Displayed in Activity Log for a Single Chute Session Movement</x:v>
      </x:c>
      <x:c r="C53" s="6" t="str">
        <x:v>Bug</x:v>
      </x:c>
      <x:c r="D53" s="6" t="str">
        <x:v>gangappan</x:v>
      </x:c>
      <x:c r="E53" s="6" t="str">
        <x:v>New / Open</x:v>
      </x:c>
      <x:c r="F53" s="7" t="str">
        <x:v>App, Dev, QA</x:v>
      </x:c>
      <x:c r="G53" s="6" t="str">
        <x:v>No</x:v>
      </x:c>
      <x:c r="H53" s="6" t="str">
        <x:v>New / Open</x:v>
      </x:c>
      <x:c r="I53" s="19" t="str">
        <x:v>Triage and plan</x:v>
      </x:c>
    </x:row>
    <x:row r="54">
      <x:c r="A54" s="11" t="str">
        <x:v>HA30-14634</x:v>
      </x:c>
      <x:c r="B54" s="7" t="str">
        <x:v>Counting Session - Performance analysis for storing session data in Reader sessions</x:v>
      </x:c>
      <x:c r="C54" s="6" t="str">
        <x:v>Story</x:v>
      </x:c>
      <x:c r="D54" s="6" t="str">
        <x:v>Praveen Francis</x:v>
      </x:c>
      <x:c r="E54" s="6" t="str">
        <x:v>In Progress</x:v>
      </x:c>
      <x:c r="F54" s="7" t="str">
        <x:v>App</x:v>
      </x:c>
      <x:c r="G54" s="6" t="str">
        <x:v>No</x:v>
      </x:c>
      <x:c r="H54" s="6" t="str">
        <x:v>In Progress</x:v>
      </x:c>
      <x:c r="I54" s="19" t="str">
        <x:v>Continue development</x:v>
      </x:c>
    </x:row>
    <x:row r="55">
      <x:c r="A55" s="11" t="str">
        <x:v>HA30-14635</x:v>
      </x:c>
      <x:c r="B55" s="7" t="str">
        <x:v>Counting session - Add Counting session ID in Reader sessions</x:v>
      </x:c>
      <x:c r="C55" s="6" t="str">
        <x:v>Story</x:v>
      </x:c>
      <x:c r="D55" s="6" t="str">
        <x:v>Praveen Francis</x:v>
      </x:c>
      <x:c r="E55" s="6" t="str">
        <x:v>In Progress</x:v>
      </x:c>
      <x:c r="F55" s="7" t="str">
        <x:v>App</x:v>
      </x:c>
      <x:c r="G55" s="6" t="str">
        <x:v>No</x:v>
      </x:c>
      <x:c r="H55" s="6" t="str">
        <x:v>In Progress</x:v>
      </x:c>
      <x:c r="I55" s="19" t="str">
        <x:v>Continue development</x:v>
      </x:c>
    </x:row>
    <x:row r="56">
      <x:c r="A56" s="11" t="str">
        <x:v>HA30-14813</x:v>
      </x:c>
      <x:c r="B56" s="7" t="str">
        <x:v>New Automation Development – Assign Medicine to Animals for Pastures from Medicine Inventory</x:v>
      </x:c>
      <x:c r="C56" s="6" t="str">
        <x:v>Story</x:v>
      </x:c>
      <x:c r="D56" s="6" t="str">
        <x:v>Mariappan E</x:v>
      </x:c>
      <x:c r="E56" s="6" t="str">
        <x:v>In Progress</x:v>
      </x:c>
      <x:c r="F56" s="7" t="str">
        <x:v>QAAutomation</x:v>
      </x:c>
      <x:c r="G56" s="6" t="str">
        <x:v>No</x:v>
      </x:c>
      <x:c r="H56" s="6" t="str">
        <x:v>In Progress</x:v>
      </x:c>
      <x:c r="I56" s="19" t="str">
        <x:v>Continue development</x:v>
      </x:c>
    </x:row>
    <x:row r="57">
      <x:c r="A57" s="11" t="str">
        <x:v>HA30-14814</x:v>
      </x:c>
      <x:c r="B57" s="7" t="str">
        <x:v>Prevent Data Loss by Stopping Process on Critical Errors in inventory</x:v>
      </x:c>
      <x:c r="C57" s="6" t="str">
        <x:v>Story</x:v>
      </x:c>
      <x:c r="D57" s="6" t="str">
        <x:v>Praveen Francis</x:v>
      </x:c>
      <x:c r="E57" s="6" t="str">
        <x:v>In Progress</x:v>
      </x:c>
      <x:c r="F57" s="7" t="str">
        <x:v>App</x:v>
      </x:c>
      <x:c r="G57" s="6" t="str">
        <x:v>No</x:v>
      </x:c>
      <x:c r="H57" s="6" t="str">
        <x:v>In Progress</x:v>
      </x:c>
      <x:c r="I57" s="19" t="str">
        <x:v>Continue development</x:v>
      </x:c>
    </x:row>
    <x:row r="58">
      <x:c r="A58" s="11" t="str">
        <x:v>HA30-14816</x:v>
      </x:c>
      <x:c r="B58" s="7" t="str">
        <x:v>Review and Resolve All Crashlytics Issues in the Chute session</x:v>
      </x:c>
      <x:c r="C58" s="6" t="str">
        <x:v>Story</x:v>
      </x:c>
      <x:c r="D58" s="6" t="str">
        <x:v>Praveen Francis</x:v>
      </x:c>
      <x:c r="E58" s="6" t="str">
        <x:v>In Progress</x:v>
      </x:c>
      <x:c r="F58" s="7" t="str">
        <x:v>App</x:v>
      </x:c>
      <x:c r="G58" s="6" t="str">
        <x:v>No</x:v>
      </x:c>
      <x:c r="H58" s="6" t="str">
        <x:v>In Progress</x:v>
      </x:c>
      <x:c r="I58" s="19" t="str">
        <x:v>Continue development</x:v>
      </x:c>
    </x:row>
    <x:row r="59">
      <x:c r="A59" s="11" t="str">
        <x:v>HA30-14822</x:v>
      </x:c>
      <x:c r="B59" s="7" t="str">
        <x:v>Report Story - Treatment report functionality - Mobile &amp; Tab version</x:v>
      </x:c>
      <x:c r="C59" s="6" t="str">
        <x:v>Story</x:v>
      </x:c>
      <x:c r="D59" s="6" t="str">
        <x:v>Praveen Francis</x:v>
      </x:c>
      <x:c r="E59" s="6" t="str">
        <x:v>In Progress</x:v>
      </x:c>
      <x:c r="F59" s="7" t="str">
        <x:v>App, POC</x:v>
      </x:c>
      <x:c r="G59" s="6" t="str">
        <x:v>No</x:v>
      </x:c>
      <x:c r="H59" s="6" t="str">
        <x:v>In Progress</x:v>
      </x:c>
      <x:c r="I59" s="19" t="str">
        <x:v>Continue development</x:v>
      </x:c>
    </x:row>
    <x:row r="60">
      <x:c r="A60" s="11" t="str">
        <x:v>HA30-14826</x:v>
      </x:c>
      <x:c r="B60" s="7" t="str">
        <x:v>Investigate Azure ADF Cost Increase and Identify Cost Optimization Opportunities</x:v>
      </x:c>
      <x:c r="C60" s="6" t="str">
        <x:v>Task</x:v>
      </x:c>
      <x:c r="D60" s="6" t="str">
        <x:v>Gladys Kirubavathi</x:v>
      </x:c>
      <x:c r="E60" s="6" t="str">
        <x:v>In Progress</x:v>
      </x:c>
      <x:c r="F60" s="7" t="str">
        <x:v>Analytics, App</x:v>
      </x:c>
      <x:c r="G60" s="6" t="str">
        <x:v>No</x:v>
      </x:c>
      <x:c r="H60" s="6" t="str">
        <x:v>In Progress</x:v>
      </x:c>
      <x:c r="I60" s="19" t="str">
        <x:v>Continue development</x:v>
      </x:c>
    </x:row>
    <x:row r="61">
      <x:c r="A61" s="11" t="str">
        <x:v>HA30-14832</x:v>
      </x:c>
      <x:c r="B61" s="7" t="str">
        <x:v>Dashboard STR - UI for Top 4 KPI cards on Dashboard</x:v>
      </x:c>
      <x:c r="C61" s="6" t="str">
        <x:v>Story</x:v>
      </x:c>
      <x:c r="D61" s="6" t="str">
        <x:v>Praveen Francis</x:v>
      </x:c>
      <x:c r="E61" s="6" t="str">
        <x:v>In Progress</x:v>
      </x:c>
      <x:c r="F61" s="7" t="str">
        <x:v>App</x:v>
      </x:c>
      <x:c r="G61" s="6" t="str">
        <x:v>No</x:v>
      </x:c>
      <x:c r="H61" s="6" t="str">
        <x:v>In Progress</x:v>
      </x:c>
      <x:c r="I61" s="19" t="str">
        <x:v>Continue development</x:v>
      </x:c>
    </x:row>
    <x:row r="62">
      <x:c r="A62" s="11" t="str">
        <x:v>HA30-14834</x:v>
      </x:c>
      <x:c r="B62" s="7" t="str">
        <x:v>Dashboard STR - Breeds pie chart</x:v>
      </x:c>
      <x:c r="C62" s="6" t="str">
        <x:v>Story</x:v>
      </x:c>
      <x:c r="D62" s="6" t="str">
        <x:v>Praveen Francis</x:v>
      </x:c>
      <x:c r="E62" s="6" t="str">
        <x:v>In Progress</x:v>
      </x:c>
      <x:c r="F62" s="7" t="str">
        <x:v>App</x:v>
      </x:c>
      <x:c r="G62" s="6" t="str">
        <x:v>No</x:v>
      </x:c>
      <x:c r="H62" s="6" t="str">
        <x:v>In Progress</x:v>
      </x:c>
      <x:c r="I62" s="19" t="str">
        <x:v>Continue development</x:v>
      </x:c>
    </x:row>
    <x:row r="63">
      <x:c r="A63" s="11" t="str">
        <x:v>HA30-14857</x:v>
      </x:c>
      <x:c r="B63" s="7" t="str">
        <x:v>Activity Log - Display activity type breakdown in pie chart</x:v>
      </x:c>
      <x:c r="C63" s="6" t="str">
        <x:v>Story</x:v>
      </x:c>
      <x:c r="D63" s="6" t="str">
        <x:v>Praveen Francis</x:v>
      </x:c>
      <x:c r="E63" s="6" t="str">
        <x:v>In Progress</x:v>
      </x:c>
      <x:c r="F63" s="7" t="str">
        <x:v>App</x:v>
      </x:c>
      <x:c r="G63" s="6" t="str">
        <x:v>No</x:v>
      </x:c>
      <x:c r="H63" s="6" t="str">
        <x:v>In Progress</x:v>
      </x:c>
      <x:c r="I63" s="19" t="str">
        <x:v>Continue development</x:v>
      </x:c>
    </x:row>
    <x:row r="64">
      <x:c r="A64" s="11" t="str">
        <x:v>HA30-14861</x:v>
      </x:c>
      <x:c r="B64" s="7" t="str">
        <x:v>Activity Log - Activities Tabular view UI for Tab and Web</x:v>
      </x:c>
      <x:c r="C64" s="6" t="str">
        <x:v>Story</x:v>
      </x:c>
      <x:c r="D64" s="6" t="str">
        <x:v>Praveen Francis</x:v>
      </x:c>
      <x:c r="E64" s="6" t="str">
        <x:v>In Progress</x:v>
      </x:c>
      <x:c r="F64" s="7" t="str">
        <x:v>App</x:v>
      </x:c>
      <x:c r="G64" s="6" t="str">
        <x:v>No</x:v>
      </x:c>
      <x:c r="H64" s="6" t="str">
        <x:v>In Progress</x:v>
      </x:c>
      <x:c r="I64" s="19" t="str">
        <x:v>Continue development</x:v>
      </x:c>
    </x:row>
    <x:row r="65">
      <x:c r="A65" s="11" t="str">
        <x:v>HA30-14870</x:v>
      </x:c>
      <x:c r="B65" s="7" t="str">
        <x:v>Activity log - Implement total activities KPI functionality</x:v>
      </x:c>
      <x:c r="C65" s="6" t="str">
        <x:v>Story</x:v>
      </x:c>
      <x:c r="D65" s="6" t="str">
        <x:v>Praveen Francis</x:v>
      </x:c>
      <x:c r="E65" s="6" t="str">
        <x:v>In Progress</x:v>
      </x:c>
      <x:c r="F65" s="7" t="str">
        <x:v>App</x:v>
      </x:c>
      <x:c r="G65" s="6" t="str">
        <x:v>No</x:v>
      </x:c>
      <x:c r="H65" s="6" t="str">
        <x:v>In Progress</x:v>
      </x:c>
      <x:c r="I65" s="19" t="str">
        <x:v>Continue development</x:v>
      </x:c>
    </x:row>
    <x:row r="66">
      <x:c r="A66" s="11" t="str">
        <x:v>HA30-14878</x:v>
      </x:c>
      <x:c r="B66" s="7" t="str">
        <x:v>Dashboard QA Task - Implement the functionality for top 4 KPI cards</x:v>
      </x:c>
      <x:c r="C66" s="6" t="str">
        <x:v>Task</x:v>
      </x:c>
      <x:c r="D66" s="6" t="str">
        <x:v>Raji S</x:v>
      </x:c>
      <x:c r="E66" s="6" t="str">
        <x:v>In Progress</x:v>
      </x:c>
      <x:c r="F66" s="7" t="str">
        <x:v>App, QA</x:v>
      </x:c>
      <x:c r="G66" s="6" t="str">
        <x:v>No</x:v>
      </x:c>
      <x:c r="H66" s="6" t="str">
        <x:v>In Progress</x:v>
      </x:c>
      <x:c r="I66" s="19" t="str">
        <x:v>Continue development</x:v>
      </x:c>
    </x:row>
    <x:row r="67">
      <x:c r="A67" s="11" t="str">
        <x:v>HA30-14922</x:v>
      </x:c>
      <x:c r="B67" s="7" t="str">
        <x:v>Medicine Inventory – Available Quantity and Restock Option for “Do Not Track Stock” Medicines</x:v>
      </x:c>
      <x:c r="C67" s="6" t="str">
        <x:v>Story</x:v>
      </x:c>
      <x:c r="D67" s="6" t="str"/>
      <x:c r="E67" s="6" t="str">
        <x:v>In Progress</x:v>
      </x:c>
      <x:c r="F67" s="7" t="str">
        <x:v>App, QA</x:v>
      </x:c>
      <x:c r="G67" s="6" t="str">
        <x:v>No</x:v>
      </x:c>
      <x:c r="H67" s="6" t="str">
        <x:v>Owner needed</x:v>
      </x:c>
      <x:c r="I67" s="19" t="str">
        <x:v>Assign owner</x:v>
      </x:c>
    </x:row>
    <x:row r="68">
      <x:c r="A68" s="11" t="str">
        <x:v>HA30-14966</x:v>
      </x:c>
      <x:c r="B68" s="7" t="str">
        <x:v>Medicine Inventory - Other as an option in Treatment type</x:v>
      </x:c>
      <x:c r="C68" s="6" t="str">
        <x:v>Story</x:v>
      </x:c>
      <x:c r="D68" s="6" t="str">
        <x:v>Praveen Francis</x:v>
      </x:c>
      <x:c r="E68" s="6" t="str">
        <x:v>In Progress</x:v>
      </x:c>
      <x:c r="F68" s="7" t="str">
        <x:v>App</x:v>
      </x:c>
      <x:c r="G68" s="6" t="str">
        <x:v>No</x:v>
      </x:c>
      <x:c r="H68" s="6" t="str">
        <x:v>In Progress</x:v>
      </x:c>
      <x:c r="I68" s="19" t="str">
        <x:v>Continue development</x:v>
      </x:c>
    </x:row>
    <x:row r="69">
      <x:c r="A69" s="11" t="str">
        <x:v>HA30-15041</x:v>
      </x:c>
      <x:c r="B69" s="7" t="str">
        <x:v>Activity Log - Upload Excel - Add new animal</x:v>
      </x:c>
      <x:c r="C69" s="6" t="str">
        <x:v>Story</x:v>
      </x:c>
      <x:c r="D69" s="6" t="str">
        <x:v>Praveen Francis</x:v>
      </x:c>
      <x:c r="E69" s="6" t="str">
        <x:v>In Progress</x:v>
      </x:c>
      <x:c r="F69" s="7" t="str">
        <x:v>App</x:v>
      </x:c>
      <x:c r="G69" s="6" t="str">
        <x:v>No</x:v>
      </x:c>
      <x:c r="H69" s="6" t="str">
        <x:v>In Progress</x:v>
      </x:c>
      <x:c r="I69" s="19" t="str">
        <x:v>Continue development</x:v>
      </x:c>
    </x:row>
    <x:row r="70">
      <x:c r="A70" s="11" t="str">
        <x:v>HA30-15043</x:v>
      </x:c>
      <x:c r="B70" s="7" t="str">
        <x:v>Activity Log - Upload Excel - Update animal info</x:v>
      </x:c>
      <x:c r="C70" s="6" t="str">
        <x:v>Story</x:v>
      </x:c>
      <x:c r="D70" s="6" t="str">
        <x:v>Praveen Francis</x:v>
      </x:c>
      <x:c r="E70" s="6" t="str">
        <x:v>In Progress</x:v>
      </x:c>
      <x:c r="F70" s="7" t="str">
        <x:v>App</x:v>
      </x:c>
      <x:c r="G70" s="6" t="str">
        <x:v>No</x:v>
      </x:c>
      <x:c r="H70" s="6" t="str">
        <x:v>In Progress</x:v>
      </x:c>
      <x:c r="I70" s="19" t="str">
        <x:v>Continue development</x:v>
      </x:c>
    </x:row>
    <x:row r="71">
      <x:c r="A71" s="11" t="str">
        <x:v>HA30-15044</x:v>
      </x:c>
      <x:c r="B71" s="7" t="str">
        <x:v>Activity Log - Upload Excel - Add weight history</x:v>
      </x:c>
      <x:c r="C71" s="6" t="str">
        <x:v>Story</x:v>
      </x:c>
      <x:c r="D71" s="6" t="str">
        <x:v>Praveen Francis</x:v>
      </x:c>
      <x:c r="E71" s="6" t="str">
        <x:v>In Progress</x:v>
      </x:c>
      <x:c r="F71" s="7" t="str">
        <x:v>App</x:v>
      </x:c>
      <x:c r="G71" s="6" t="str">
        <x:v>No</x:v>
      </x:c>
      <x:c r="H71" s="6" t="str">
        <x:v>In Progress</x:v>
      </x:c>
      <x:c r="I71" s="19" t="str">
        <x:v>Continue development</x:v>
      </x:c>
    </x:row>
    <x:row r="72">
      <x:c r="A72" s="11" t="str">
        <x:v>HA30-15045</x:v>
      </x:c>
      <x:c r="B72" s="7" t="str">
        <x:v>Activity Log - Upload Excel - Add Animal Movement to Animal History</x:v>
      </x:c>
      <x:c r="C72" s="6" t="str">
        <x:v>Story</x:v>
      </x:c>
      <x:c r="D72" s="6" t="str">
        <x:v>Praveen Francis</x:v>
      </x:c>
      <x:c r="E72" s="6" t="str">
        <x:v>In Progress</x:v>
      </x:c>
      <x:c r="F72" s="7" t="str">
        <x:v>App</x:v>
      </x:c>
      <x:c r="G72" s="6" t="str">
        <x:v>No</x:v>
      </x:c>
      <x:c r="H72" s="6" t="str">
        <x:v>In Progress</x:v>
      </x:c>
      <x:c r="I72" s="19" t="str">
        <x:v>Continue development</x:v>
      </x:c>
    </x:row>
    <x:row r="73">
      <x:c r="A73" s="11" t="str">
        <x:v>HA30-15047</x:v>
      </x:c>
      <x:c r="B73" s="7" t="str">
        <x:v>Activity Log - Upload Excel - Add Beef programs</x:v>
      </x:c>
      <x:c r="C73" s="6" t="str">
        <x:v>Story</x:v>
      </x:c>
      <x:c r="D73" s="6" t="str">
        <x:v>Praveen Francis</x:v>
      </x:c>
      <x:c r="E73" s="6" t="str">
        <x:v>In Progress</x:v>
      </x:c>
      <x:c r="F73" s="7" t="str">
        <x:v>App</x:v>
      </x:c>
      <x:c r="G73" s="6" t="str">
        <x:v>No</x:v>
      </x:c>
      <x:c r="H73" s="6" t="str">
        <x:v>In Progress</x:v>
      </x:c>
      <x:c r="I73" s="19" t="str">
        <x:v>Continue development</x:v>
      </x:c>
    </x:row>
    <x:row r="74">
      <x:c r="A74" s="11" t="str">
        <x:v>HA30-15049</x:v>
      </x:c>
      <x:c r="B74" s="7" t="str">
        <x:v>Activity Log - Search activities in Activity log screen</x:v>
      </x:c>
      <x:c r="C74" s="6" t="str">
        <x:v>Story</x:v>
      </x:c>
      <x:c r="D74" s="6" t="str">
        <x:v>Praveen Francis</x:v>
      </x:c>
      <x:c r="E74" s="6" t="str">
        <x:v>In Progress</x:v>
      </x:c>
      <x:c r="F74" s="7" t="str">
        <x:v>App</x:v>
      </x:c>
      <x:c r="G74" s="6" t="str">
        <x:v>No</x:v>
      </x:c>
      <x:c r="H74" s="6" t="str">
        <x:v>In Progress</x:v>
      </x:c>
      <x:c r="I74" s="19" t="str">
        <x:v>Continue development</x:v>
      </x:c>
    </x:row>
    <x:row r="75">
      <x:c r="A75" s="11" t="str">
        <x:v>HA30-15052</x:v>
      </x:c>
      <x:c r="B75" s="7" t="str">
        <x:v>Activity Log - Chute Session - Front end development for activities and details for adding new animals</x:v>
      </x:c>
      <x:c r="C75" s="6" t="str">
        <x:v>Story</x:v>
      </x:c>
      <x:c r="D75" s="6" t="str">
        <x:v>Praveen Francis</x:v>
      </x:c>
      <x:c r="E75" s="6" t="str">
        <x:v>In Progress</x:v>
      </x:c>
      <x:c r="F75" s="7" t="str">
        <x:v>App</x:v>
      </x:c>
      <x:c r="G75" s="6" t="str">
        <x:v>No</x:v>
      </x:c>
      <x:c r="H75" s="6" t="str">
        <x:v>In Progress</x:v>
      </x:c>
      <x:c r="I75" s="19" t="str">
        <x:v>Continue development</x:v>
      </x:c>
    </x:row>
    <x:row r="76">
      <x:c r="A76" s="11" t="str">
        <x:v>HA30-15055</x:v>
      </x:c>
      <x:c r="B76" s="7" t="str">
        <x:v>Activity Log - Chute session - Animal Movement</x:v>
      </x:c>
      <x:c r="C76" s="6" t="str">
        <x:v>Story</x:v>
      </x:c>
      <x:c r="D76" s="6" t="str">
        <x:v>Praveen Francis</x:v>
      </x:c>
      <x:c r="E76" s="6" t="str">
        <x:v>In Progress</x:v>
      </x:c>
      <x:c r="F76" s="7" t="str"/>
      <x:c r="G76" s="6" t="str">
        <x:v>No</x:v>
      </x:c>
      <x:c r="H76" s="6" t="str">
        <x:v>In Progress</x:v>
      </x:c>
      <x:c r="I76" s="19" t="str">
        <x:v>Continue development</x:v>
      </x:c>
    </x:row>
    <x:row r="77">
      <x:c r="A77" s="11" t="str">
        <x:v>HA30-15056</x:v>
      </x:c>
      <x:c r="B77" s="7" t="str">
        <x:v>Activity Log - Chute session - Weight update</x:v>
      </x:c>
      <x:c r="C77" s="6" t="str">
        <x:v>Story</x:v>
      </x:c>
      <x:c r="D77" s="6" t="str">
        <x:v>Praveen Francis</x:v>
      </x:c>
      <x:c r="E77" s="6" t="str">
        <x:v>In Progress</x:v>
      </x:c>
      <x:c r="F77" s="7" t="str"/>
      <x:c r="G77" s="6" t="str">
        <x:v>No</x:v>
      </x:c>
      <x:c r="H77" s="6" t="str">
        <x:v>In Progress</x:v>
      </x:c>
      <x:c r="I77" s="19" t="str">
        <x:v>Continue development</x:v>
      </x:c>
    </x:row>
    <x:row r="78">
      <x:c r="A78" s="11" t="str">
        <x:v>HA30-15076</x:v>
      </x:c>
      <x:c r="B78" s="7" t="str">
        <x:v>Medicine Inventory QA Task – Available Quantity and Restock Option for “Do Not Track Stock” Medicines</x:v>
      </x:c>
      <x:c r="C78" s="6" t="str">
        <x:v>Task</x:v>
      </x:c>
      <x:c r="D78" s="6" t="str">
        <x:v>gnana sankar</x:v>
      </x:c>
      <x:c r="E78" s="6" t="str">
        <x:v>In Progress</x:v>
      </x:c>
      <x:c r="F78" s="7" t="str">
        <x:v>App, QA</x:v>
      </x:c>
      <x:c r="G78" s="6" t="str">
        <x:v>No</x:v>
      </x:c>
      <x:c r="H78" s="6" t="str">
        <x:v>In Progress</x:v>
      </x:c>
      <x:c r="I78" s="19" t="str">
        <x:v>Continue development</x:v>
      </x:c>
    </x:row>
    <x:row r="79">
      <x:c r="A79" s="11" t="str">
        <x:v>HA30-15079</x:v>
      </x:c>
      <x:c r="B79" s="7" t="str">
        <x:v>QA Task - Present Animal History Instead of Enclosure Movement History</x:v>
      </x:c>
      <x:c r="C79" s="6" t="str">
        <x:v>Task</x:v>
      </x:c>
      <x:c r="D79" s="6" t="str">
        <x:v>gnana sankar</x:v>
      </x:c>
      <x:c r="E79" s="6" t="str">
        <x:v>In Progress</x:v>
      </x:c>
      <x:c r="F79" s="7" t="str">
        <x:v>App, QA</x:v>
      </x:c>
      <x:c r="G79" s="6" t="str">
        <x:v>No</x:v>
      </x:c>
      <x:c r="H79" s="6" t="str">
        <x:v>In Progress</x:v>
      </x:c>
      <x:c r="I79" s="19" t="str">
        <x:v>Continue development</x:v>
      </x:c>
    </x:row>
    <x:row r="80">
      <x:c r="A80" s="11" t="str">
        <x:v>HA30-15193</x:v>
      </x:c>
      <x:c r="B80" s="7" t="str">
        <x:v>Beef Program Details Are Not Displayed Correctly in Activity Log After Upload Excel</x:v>
      </x:c>
      <x:c r="C80" s="6" t="str">
        <x:v>Bug</x:v>
      </x:c>
      <x:c r="D80" s="6" t="str">
        <x:v>Saravana Kumar M</x:v>
      </x:c>
      <x:c r="E80" s="6" t="str">
        <x:v>In Progress</x:v>
      </x:c>
      <x:c r="F80" s="7" t="str">
        <x:v>App, Dev, QA</x:v>
      </x:c>
      <x:c r="G80" s="6" t="str">
        <x:v>No</x:v>
      </x:c>
      <x:c r="H80" s="6" t="str">
        <x:v>In Progress</x:v>
      </x:c>
      <x:c r="I80" s="19" t="str">
        <x:v>Continue development</x:v>
      </x:c>
    </x:row>
    <x:row r="81">
      <x:c r="A81" s="11" t="str">
        <x:v>HA30-15209</x:v>
      </x:c>
      <x:c r="B81" s="7" t="str">
        <x:v>Run QA Automation Regression Suite on Staging build 5.0.152 (09)</x:v>
      </x:c>
      <x:c r="C81" s="6" t="str">
        <x:v>Task</x:v>
      </x:c>
      <x:c r="D81" s="6" t="str">
        <x:v>Mariappan E</x:v>
      </x:c>
      <x:c r="E81" s="6" t="str">
        <x:v>In Progress</x:v>
      </x:c>
      <x:c r="F81" s="7" t="str">
        <x:v>QAAutomation</x:v>
      </x:c>
      <x:c r="G81" s="6" t="str">
        <x:v>No</x:v>
      </x:c>
      <x:c r="H81" s="6" t="str">
        <x:v>In Progress</x:v>
      </x:c>
      <x:c r="I81" s="19" t="str">
        <x:v>Continue development</x:v>
      </x:c>
    </x:row>
    <x:row r="82">
      <x:c r="A82" s="11" t="str">
        <x:v>HA30-13964</x:v>
      </x:c>
      <x:c r="B82" s="7" t="str">
        <x:v>Connecting to a reader during a session while in manual error</x:v>
      </x:c>
      <x:c r="C82" s="6" t="str">
        <x:v>Bug</x:v>
      </x:c>
      <x:c r="D82" s="6" t="str">
        <x:v>Samuel Parker</x:v>
      </x:c>
      <x:c r="E82" s="6" t="str">
        <x:v>Ready for Testing</x:v>
      </x:c>
      <x:c r="F82" s="7" t="str">
        <x:v>App, Dev, QA</x:v>
      </x:c>
      <x:c r="G82" s="6" t="str">
        <x:v>No</x:v>
      </x:c>
      <x:c r="H82" s="6" t="str">
        <x:v>Ready for Testing</x:v>
      </x:c>
      <x:c r="I82" s="19" t="str">
        <x:v>Complete QA validation</x:v>
      </x:c>
    </x:row>
    <x:row r="83">
      <x:c r="A83" s="11" t="str">
        <x:v>HA30-14115</x:v>
      </x:c>
      <x:c r="B83" s="7" t="str">
        <x:v>Feed - Ration Card need to show the Ration Category</x:v>
      </x:c>
      <x:c r="C83" s="6" t="str">
        <x:v>Improvement</x:v>
      </x:c>
      <x:c r="D83" s="6" t="str">
        <x:v>Abraham</x:v>
      </x:c>
      <x:c r="E83" s="6" t="str">
        <x:v>Ready for Testing</x:v>
      </x:c>
      <x:c r="F83" s="7" t="str">
        <x:v>App, Dev, QA</x:v>
      </x:c>
      <x:c r="G83" s="6" t="str">
        <x:v>No</x:v>
      </x:c>
      <x:c r="H83" s="6" t="str">
        <x:v>Ready for Testing</x:v>
      </x:c>
      <x:c r="I83" s="19" t="str">
        <x:v>Complete QA validation</x:v>
      </x:c>
    </x:row>
    <x:row r="84">
      <x:c r="A84" s="11" t="str">
        <x:v>HA30-14381</x:v>
      </x:c>
      <x:c r="B84" s="7" t="str">
        <x:v>Backdate feed option auto selecting in add to inventory</x:v>
      </x:c>
      <x:c r="C84" s="6" t="str">
        <x:v>Bug</x:v>
      </x:c>
      <x:c r="D84" s="6" t="str">
        <x:v>Samuel Parker</x:v>
      </x:c>
      <x:c r="E84" s="6" t="str">
        <x:v>Ready for Testing</x:v>
      </x:c>
      <x:c r="F84" s="7" t="str">
        <x:v>App, Dev, QA</x:v>
      </x:c>
      <x:c r="G84" s="6" t="str">
        <x:v>No</x:v>
      </x:c>
      <x:c r="H84" s="6" t="str">
        <x:v>Ready for Testing</x:v>
      </x:c>
      <x:c r="I84" s="19" t="str">
        <x:v>Complete QA validation</x:v>
      </x:c>
    </x:row>
    <x:row r="85">
      <x:c r="A85" s="11" t="str">
        <x:v>HA30-14769</x:v>
      </x:c>
      <x:c r="B85" s="7" t="str">
        <x:v>Firebase Crash - HHR - CreateNewAnimalsFormHHRState.startListening.&lt;fn&gt;</x:v>
      </x:c>
      <x:c r="C85" s="6" t="str">
        <x:v>Bug</x:v>
      </x:c>
      <x:c r="D85" s="6" t="str">
        <x:v>Abraham</x:v>
      </x:c>
      <x:c r="E85" s="6" t="str">
        <x:v>Ready for Testing</x:v>
      </x:c>
      <x:c r="F85" s="7" t="str">
        <x:v>App, Dev, Firebase, QA</x:v>
      </x:c>
      <x:c r="G85" s="6" t="str">
        <x:v>No</x:v>
      </x:c>
      <x:c r="H85" s="6" t="str">
        <x:v>Ready for Testing</x:v>
      </x:c>
      <x:c r="I85" s="19" t="str">
        <x:v>Complete QA validation</x:v>
      </x:c>
    </x:row>
    <x:row r="86">
      <x:c r="A86" s="11" t="str">
        <x:v>HA30-14785</x:v>
      </x:c>
      <x:c r="B86" s="7" t="str">
        <x:v>Admin portal - Grey screen in Manage Menu screen</x:v>
      </x:c>
      <x:c r="C86" s="6" t="str">
        <x:v>Bug</x:v>
      </x:c>
      <x:c r="D86" s="6" t="str">
        <x:v>gangappan</x:v>
      </x:c>
      <x:c r="E86" s="6" t="str">
        <x:v>Ready for Testing</x:v>
      </x:c>
      <x:c r="F86" s="7" t="str">
        <x:v>Admin</x:v>
      </x:c>
      <x:c r="G86" s="6" t="str">
        <x:v>No</x:v>
      </x:c>
      <x:c r="H86" s="6" t="str">
        <x:v>Ready for Testing</x:v>
      </x:c>
      <x:c r="I86" s="19" t="str">
        <x:v>Complete QA validation</x:v>
      </x:c>
    </x:row>
    <x:row r="87">
      <x:c r="A87" s="11" t="str">
        <x:v>HA30-14904</x:v>
      </x:c>
      <x:c r="B87" s="7" t="str">
        <x:v>Switch Lot ID for Deleted Animals - Riley Livestock</x:v>
      </x:c>
      <x:c r="C87" s="6" t="str">
        <x:v>Task</x:v>
      </x:c>
      <x:c r="D87" s="6" t="str">
        <x:v>Samuel Parker</x:v>
      </x:c>
      <x:c r="E87" s="6" t="str">
        <x:v>Ready for Testing</x:v>
      </x:c>
      <x:c r="F87" s="7" t="str"/>
      <x:c r="G87" s="6" t="str">
        <x:v>No</x:v>
      </x:c>
      <x:c r="H87" s="6" t="str">
        <x:v>Ready for Testing</x:v>
      </x:c>
      <x:c r="I87" s="19" t="str">
        <x:v>Complete QA validation</x:v>
      </x:c>
    </x:row>
    <x:row r="88">
      <x:c r="A88" s="11" t="str">
        <x:v>HA30-14921</x:v>
      </x:c>
      <x:c r="B88" s="7" t="str">
        <x:v>Avg. Daily Gain Value Is Not Displayed as the Animal’s Highest ADG Value</x:v>
      </x:c>
      <x:c r="C88" s="6" t="str">
        <x:v>Bug</x:v>
      </x:c>
      <x:c r="D88" s="6" t="str">
        <x:v>Raji S</x:v>
      </x:c>
      <x:c r="E88" s="6" t="str">
        <x:v>Ready for Testing</x:v>
      </x:c>
      <x:c r="F88" s="7" t="str">
        <x:v>App, Dev, QA</x:v>
      </x:c>
      <x:c r="G88" s="6" t="str">
        <x:v>No</x:v>
      </x:c>
      <x:c r="H88" s="6" t="str">
        <x:v>Ready for Testing</x:v>
      </x:c>
      <x:c r="I88" s="19" t="str">
        <x:v>Complete QA validation</x:v>
      </x:c>
    </x:row>
    <x:row r="89">
      <x:c r="A89" s="11" t="str">
        <x:v>HA30-15215</x:v>
      </x:c>
      <x:c r="B89" s="7" t="str">
        <x:v>Firebase Crash - _LocationReaderContainerState._getSecondaryAntenaFlag.&lt;fn&gt; - Null Error</x:v>
      </x:c>
      <x:c r="C89" s="6" t="str">
        <x:v>Bug</x:v>
      </x:c>
      <x:c r="D89" s="6" t="str">
        <x:v>Abraham</x:v>
      </x:c>
      <x:c r="E89" s="6" t="str">
        <x:v>Ready for Testing</x:v>
      </x:c>
      <x:c r="F89" s="7" t="str">
        <x:v>App, Dev, Firebase, QA</x:v>
      </x:c>
      <x:c r="G89" s="6" t="str">
        <x:v>No</x:v>
      </x:c>
      <x:c r="H89" s="6" t="str">
        <x:v>Ready for Testing</x:v>
      </x:c>
      <x:c r="I89" s="19" t="str">
        <x:v>Complete QA validation</x:v>
      </x:c>
    </x:row>
    <x:row r="90">
      <x:c r="A90" s="11" t="str">
        <x:v>HA30-15219</x:v>
      </x:c>
      <x:c r="B90" s="7" t="str">
        <x:v>Firebase Crash - Stage - AnimalEditableInformationState.build.</x:v>
      </x:c>
      <x:c r="C90" s="6" t="str">
        <x:v>Bug</x:v>
      </x:c>
      <x:c r="D90" s="6" t="str">
        <x:v>Abraham</x:v>
      </x:c>
      <x:c r="E90" s="6" t="str">
        <x:v>Ready for Testing</x:v>
      </x:c>
      <x:c r="F90" s="7" t="str">
        <x:v>App, Dev, Firebase, QA</x:v>
      </x:c>
      <x:c r="G90" s="6" t="str">
        <x:v>No</x:v>
      </x:c>
      <x:c r="H90" s="6" t="str">
        <x:v>Ready for Testing</x:v>
      </x:c>
      <x:c r="I90" s="19" t="str">
        <x:v>Complete QA validation</x:v>
      </x:c>
    </x:row>
    <x:row r="91">
      <x:c r="A91" s="11" t="str">
        <x:v>HA30-14347</x:v>
      </x:c>
      <x:c r="B91" s="7" t="str">
        <x:v>Display full tag ID for UHF in scan pages (ATI &amp; Select multiple)</x:v>
      </x:c>
      <x:c r="C91" s="6" t="str">
        <x:v>Story</x:v>
      </x:c>
      <x:c r="D91" s="6" t="str">
        <x:v>Praveen Francis</x:v>
      </x:c>
      <x:c r="E91" s="6" t="str">
        <x:v>HerdX Accepted</x:v>
      </x:c>
      <x:c r="F91" s="7" t="str">
        <x:v>App</x:v>
      </x:c>
      <x:c r="G91" s="6" t="str">
        <x:v>No</x:v>
      </x:c>
      <x:c r="H91" s="6" t="str">
        <x:v>HerdX Accepted</x:v>
      </x:c>
      <x:c r="I91" s="19" t="str">
        <x:v>Confirm acceptance and close</x:v>
      </x:c>
    </x:row>
    <x:row r="92">
      <x:c r="A92" s="11" t="str">
        <x:v>HA30-14862</x:v>
      </x:c>
      <x:c r="B92" s="7" t="str">
        <x:v>Activity Log - Activities tabular view for Mobile layout</x:v>
      </x:c>
      <x:c r="C92" s="6" t="str">
        <x:v>Story</x:v>
      </x:c>
      <x:c r="D92" s="6" t="str">
        <x:v>Praveen Francis</x:v>
      </x:c>
      <x:c r="E92" s="6" t="str">
        <x:v>HerdX Accepted</x:v>
      </x:c>
      <x:c r="F92" s="7" t="str">
        <x:v>App</x:v>
      </x:c>
      <x:c r="G92" s="6" t="str">
        <x:v>No</x:v>
      </x:c>
      <x:c r="H92" s="6" t="str">
        <x:v>HerdX Accepted</x:v>
      </x:c>
      <x:c r="I92" s="19" t="str">
        <x:v>Confirm acceptance and close</x:v>
      </x:c>
    </x:row>
    <x:row r="93">
      <x:c r="A93" s="11" t="str">
        <x:v>HA30-14923</x:v>
      </x:c>
      <x:c r="B93" s="7" t="str">
        <x:v>Dashboard - Add recent activities widget</x:v>
      </x:c>
      <x:c r="C93" s="6" t="str">
        <x:v>Story</x:v>
      </x:c>
      <x:c r="D93" s="6" t="str">
        <x:v>Praveen Francis</x:v>
      </x:c>
      <x:c r="E93" s="6" t="str">
        <x:v>HerdX Accepted</x:v>
      </x:c>
      <x:c r="F93" s="7" t="str">
        <x:v>App</x:v>
      </x:c>
      <x:c r="G93" s="6" t="str">
        <x:v>No</x:v>
      </x:c>
      <x:c r="H93" s="6" t="str">
        <x:v>HerdX Accepted</x:v>
      </x:c>
      <x:c r="I93" s="19" t="str">
        <x:v>Confirm acceptance and close</x:v>
      </x:c>
    </x:row>
    <x:row r="94">
      <x:c r="A94" s="11" t="str">
        <x:v>HA30-14930</x:v>
      </x:c>
      <x:c r="B94" s="7" t="str">
        <x:v>Counting Session Not Displaying Tag in Inventory</x:v>
      </x:c>
      <x:c r="C94" s="6" t="str">
        <x:v>Bug</x:v>
      </x:c>
      <x:c r="D94" s="6" t="str">
        <x:v>Samuel Parker</x:v>
      </x:c>
      <x:c r="E94" s="6" t="str">
        <x:v>HerdX Accepted</x:v>
      </x:c>
      <x:c r="F94" s="7" t="str">
        <x:v>App, Dev, QA</x:v>
      </x:c>
      <x:c r="G94" s="6" t="str">
        <x:v>No</x:v>
      </x:c>
      <x:c r="H94" s="6" t="str">
        <x:v>HerdX Accepted</x:v>
      </x:c>
      <x:c r="I94" s="19" t="str">
        <x:v>Confirm acceptance and close</x:v>
      </x:c>
    </x:row>
    <x:row r="95">
      <x:c r="A95" s="11" t="str">
        <x:v>HA30-15013</x:v>
      </x:c>
      <x:c r="B95" s="7" t="str">
        <x:v>Visual Tag - Display Full Visual tag in Health, treatments, Breeding &amp; Parentage screens</x:v>
      </x:c>
      <x:c r="C95" s="6" t="str">
        <x:v>Story</x:v>
      </x:c>
      <x:c r="D95" s="6" t="str">
        <x:v>Praveen Francis</x:v>
      </x:c>
      <x:c r="E95" s="6" t="str">
        <x:v>HerdX Accepted</x:v>
      </x:c>
      <x:c r="F95" s="7" t="str">
        <x:v>App</x:v>
      </x:c>
      <x:c r="G95" s="6" t="str">
        <x:v>No</x:v>
      </x:c>
      <x:c r="H95" s="6" t="str">
        <x:v>HerdX Accepted</x:v>
      </x:c>
      <x:c r="I95" s="19" t="str">
        <x:v>Confirm acceptance and close</x:v>
      </x:c>
    </x:row>
    <x:row r="96">
      <x:c r="A96" s="11" t="str">
        <x:v>HA30-15028</x:v>
      </x:c>
      <x:c r="B96" s="7" t="str">
        <x:v>Show Text Field When Selecting Other Breed</x:v>
      </x:c>
      <x:c r="C96" s="6" t="str">
        <x:v>Task</x:v>
      </x:c>
      <x:c r="D96" s="6" t="str">
        <x:v>ajith</x:v>
      </x:c>
      <x:c r="E96" s="6" t="str">
        <x:v>HerdX Accepted</x:v>
      </x:c>
      <x:c r="F96" s="7" t="str">
        <x:v>App, Dev</x:v>
      </x:c>
      <x:c r="G96" s="6" t="str">
        <x:v>No</x:v>
      </x:c>
      <x:c r="H96" s="6" t="str">
        <x:v>HerdX Accepted</x:v>
      </x:c>
      <x:c r="I96" s="19" t="str">
        <x:v>Confirm acceptance and close</x:v>
      </x:c>
    </x:row>
    <x:row r="97">
      <x:c r="A97" s="11" t="str">
        <x:v>HA30-15051</x:v>
      </x:c>
      <x:c r="B97" s="7" t="str">
        <x:v>Activity Log - Chute session - Add animals</x:v>
      </x:c>
      <x:c r="C97" s="6" t="str">
        <x:v>Story</x:v>
      </x:c>
      <x:c r="D97" s="6" t="str">
        <x:v>Praveen Francis</x:v>
      </x:c>
      <x:c r="E97" s="6" t="str">
        <x:v>HerdX Accepted</x:v>
      </x:c>
      <x:c r="F97" s="7" t="str">
        <x:v>App</x:v>
      </x:c>
      <x:c r="G97" s="6" t="str">
        <x:v>No</x:v>
      </x:c>
      <x:c r="H97" s="6" t="str">
        <x:v>HerdX Accepted</x:v>
      </x:c>
      <x:c r="I97" s="19" t="str">
        <x:v>Confirm acceptance and close</x:v>
      </x:c>
    </x:row>
    <x:row r="98">
      <x:c r="A98" s="11" t="str">
        <x:v>HA30-15053</x:v>
      </x:c>
      <x:c r="B98" s="7" t="str">
        <x:v>Activity Log - Chute session - Edit Existing animals</x:v>
      </x:c>
      <x:c r="C98" s="6" t="str">
        <x:v>Story</x:v>
      </x:c>
      <x:c r="D98" s="6" t="str">
        <x:v>Praveen Francis</x:v>
      </x:c>
      <x:c r="E98" s="6" t="str">
        <x:v>HerdX Accepted</x:v>
      </x:c>
      <x:c r="F98" s="7" t="str">
        <x:v>App</x:v>
      </x:c>
      <x:c r="G98" s="6" t="str">
        <x:v>No</x:v>
      </x:c>
      <x:c r="H98" s="6" t="str">
        <x:v>HerdX Accepted</x:v>
      </x:c>
      <x:c r="I98" s="19" t="str">
        <x:v>Confirm acceptance and close</x:v>
      </x:c>
    </x:row>
    <x:row r="99">
      <x:c r="A99" s="11" t="str">
        <x:v>HA30-15150</x:v>
      </x:c>
      <x:c r="B99" s="7" t="str">
        <x:v>Not able to type more than one letter in common information (Pen or pasture)</x:v>
      </x:c>
      <x:c r="C99" s="6" t="str">
        <x:v>Bug</x:v>
      </x:c>
      <x:c r="D99" s="6" t="str">
        <x:v>Abraham</x:v>
      </x:c>
      <x:c r="E99" s="6" t="str">
        <x:v>HerdX Accepted</x:v>
      </x:c>
      <x:c r="F99" s="7" t="str">
        <x:v>App, Dev, QA</x:v>
      </x:c>
      <x:c r="G99" s="6" t="str">
        <x:v>No</x:v>
      </x:c>
      <x:c r="H99" s="6" t="str">
        <x:v>HerdX Accepted</x:v>
      </x:c>
      <x:c r="I99" s="19" t="str">
        <x:v>Confirm acceptance and close</x:v>
      </x:c>
    </x:row>
    <x:row r="100">
      <x:c r="A100" s="11" t="str">
        <x:v>HA30-15201</x:v>
      </x:c>
      <x:c r="B100" s="7" t="str">
        <x:v>Pregnancy Check – “# of Calves” field cannot be cleared once a value is selected (no “0”/blank option)</x:v>
      </x:c>
      <x:c r="C100" s="6" t="str">
        <x:v>Bug</x:v>
      </x:c>
      <x:c r="D100" s="6" t="str">
        <x:v>ajith</x:v>
      </x:c>
      <x:c r="E100" s="6" t="str">
        <x:v>HerdX Accepted</x:v>
      </x:c>
      <x:c r="F100" s="7" t="str">
        <x:v>App, Dev, QA, Tested</x:v>
      </x:c>
      <x:c r="G100" s="6" t="str">
        <x:v>No</x:v>
      </x:c>
      <x:c r="H100" s="6" t="str">
        <x:v>HerdX Accepted</x:v>
      </x:c>
      <x:c r="I100" s="19" t="str">
        <x:v>Confirm acceptance and close</x:v>
      </x:c>
    </x:row>
    <x:row r="101">
      <x:c r="A101" s="11" t="str">
        <x:v>HA30-14976</x:v>
      </x:c>
      <x:c r="B101" s="7" t="str">
        <x:v>Activity Log – Search Bar Automatically Displays Created Item Without User Applying Search (TAB VIEW)</x:v>
      </x:c>
      <x:c r="C101" s="6" t="str">
        <x:v>Bug</x:v>
      </x:c>
      <x:c r="D101" s="6" t="str">
        <x:v>gangappan</x:v>
      </x:c>
      <x:c r="E101" s="6" t="str">
        <x:v>Rejected / Not a Bug</x:v>
      </x:c>
      <x:c r="F101" s="7" t="str">
        <x:v>App, Dev, QA</x:v>
      </x:c>
      <x:c r="G101" s="6" t="str">
        <x:v>No</x:v>
      </x:c>
      <x:c r="H101" s="6" t="str">
        <x:v>Rejected / Not a Bug</x:v>
      </x:c>
      <x:c r="I101" s="19" t="str">
        <x:v>Confirm closure</x:v>
      </x:c>
    </x:row>
    <x:row r="102">
      <x:c r="A102" s="11" t="str">
        <x:v>HA30-15192</x:v>
      </x:c>
      <x:c r="B102" s="7" t="str">
        <x:v>Activity Log – Chute Session: Medicine Name Is Not Displayed Properly When Adding Medicine to an Animal</x:v>
      </x:c>
      <x:c r="C102" s="6" t="str">
        <x:v>Bug</x:v>
      </x:c>
      <x:c r="D102" s="6" t="str">
        <x:v>Raji S</x:v>
      </x:c>
      <x:c r="E102" s="6" t="str">
        <x:v>Rejected / Not a Bug</x:v>
      </x:c>
      <x:c r="F102" s="7" t="str">
        <x:v>App, QA</x:v>
      </x:c>
      <x:c r="G102" s="6" t="str">
        <x:v>No</x:v>
      </x:c>
      <x:c r="H102" s="6" t="str">
        <x:v>Rejected / Not a Bug</x:v>
      </x:c>
      <x:c r="I102" s="19" t="str">
        <x:v>Confirm closure</x:v>
      </x:c>
    </x:row>
    <x:row r="103">
      <x:c r="A103" s="13" t="str">
        <x:v>HA30-15108</x:v>
      </x:c>
      <x:c r="B103" s="14" t="str">
        <x:v>Activity Log Card Does Not Display Inventory Add or Edit any Activities</x:v>
      </x:c>
      <x:c r="C103" s="15" t="str">
        <x:v>Bug</x:v>
      </x:c>
      <x:c r="D103" s="15" t="str">
        <x:v>gangappan</x:v>
      </x:c>
      <x:c r="E103" s="15" t="str">
        <x:v>Discarded</x:v>
      </x:c>
      <x:c r="F103" s="14" t="str">
        <x:v>App, Dev, QA</x:v>
      </x:c>
      <x:c r="G103" s="15" t="str">
        <x:v>No</x:v>
      </x:c>
      <x:c r="H103" s="15" t="str">
        <x:v>Discarded</x:v>
      </x:c>
      <x:c r="I103" s="20" t="str">
        <x:v>Review next action</x:v>
      </x:c>
    </x:row>
  </x:sheetData>
  <x:conditionalFormatting sqref="E6:E103">
    <x:cfRule type="containsText" dxfId="0" priority="1" operator="containsText" text="New / Open"/>
    <x:cfRule type="containsText" dxfId="1" priority="2" operator="containsText" text="In Progress"/>
    <x:cfRule type="containsText" dxfId="2" priority="3" operator="containsText" text="Ready for Testing"/>
  </x:conditionalFormatting>
  <x:conditionalFormatting sqref="G6:G103">
    <x:cfRule type="containsText" dxfId="3" priority="4" operator="containsText" text="Yes"/>
  </x:conditionalFormatting>
  <x:conditionalFormatting sqref="H6:H103">
    <x:cfRule type="containsText" dxfId="4" priority="5" operator="containsText" text="Owner needed"/>
  </x:conditionalFormatting>
  <x:pageMargins left="0.7" right="0.7" top="0.75" bottom="0.75" header="0.3" footer="0.3"/>
  <x:tableParts count="1">
    <x:tablePart xmlns:r="http://schemas.openxmlformats.org/officeDocument/2006/relationships" r:id="R64fbf98b993c415a"/>
  </x:tableParts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62" hidden="0" customWidth="1"/>
    <x:col min="3" max="3" width="16" hidden="0" customWidth="1"/>
    <x:col min="4" max="4" width="24" hidden="0" customWidth="1"/>
    <x:col min="5" max="5" width="22" hidden="0" customWidth="1"/>
    <x:col min="6" max="6" width="34" hidden="0" customWidth="1"/>
    <x:col min="7" max="7" width="16" hidden="0" customWidth="1"/>
  </x:cols>
  <x:sheetData>
    <x:row r="1" ht="24" customHeight="1">
      <x:c r="A1" s="8" t="str">
        <x:v>Key</x:v>
      </x:c>
      <x:c r="B1" s="9" t="str">
        <x:v>Summary</x:v>
      </x:c>
      <x:c r="C1" s="9" t="str">
        <x:v>Issue Type</x:v>
      </x:c>
      <x:c r="D1" s="9" t="str">
        <x:v>Assignee</x:v>
      </x:c>
      <x:c r="E1" s="9" t="str">
        <x:v>Status</x:v>
      </x:c>
      <x:c r="F1" s="9" t="str">
        <x:v>Labels</x:v>
      </x:c>
      <x:c r="G1" s="10" t="str">
        <x:v>Production Bug</x:v>
      </x:c>
    </x:row>
    <x:row r="2">
      <x:c r="A2" s="11" t="str">
        <x:v>HA30-15257</x:v>
      </x:c>
      <x:c r="B2" s="7" t="str">
        <x:v>Production: Activity log- Upload Excel  ,Under Treatment details should not be shown</x:v>
      </x:c>
      <x:c r="C2" s="6" t="str">
        <x:v>Bug</x:v>
      </x:c>
      <x:c r="D2" s="6" t="str">
        <x:v>Allwin. T</x:v>
      </x:c>
      <x:c r="E2" s="6" t="str">
        <x:v>Ready for Testing</x:v>
      </x:c>
      <x:c r="F2" s="7" t="str">
        <x:v>Dev, Prod, QA</x:v>
      </x:c>
      <x:c r="G2" s="12" t="str">
        <x:v>Yes</x:v>
      </x:c>
    </x:row>
    <x:row r="3">
      <x:c r="A3" s="11" t="str">
        <x:v>HA30-15248</x:v>
      </x:c>
      <x:c r="B3" s="7" t="str">
        <x:v>Production - Activity Log Records Are Not Displayed Across All Devices</x:v>
      </x:c>
      <x:c r="C3" s="6" t="str">
        <x:v>Bug</x:v>
      </x:c>
      <x:c r="D3" s="6" t="str">
        <x:v>Raji S</x:v>
      </x:c>
      <x:c r="E3" s="6" t="str">
        <x:v>Done</x:v>
      </x:c>
      <x:c r="F3" s="7" t="str">
        <x:v>Dev, Prod, QA</x:v>
      </x:c>
      <x:c r="G3" s="12" t="str">
        <x:v>Yes</x:v>
      </x:c>
    </x:row>
    <x:row r="4">
      <x:c r="A4" s="11" t="str">
        <x:v>HA30-15247</x:v>
      </x:c>
      <x:c r="B4" s="7" t="str">
        <x:v>Production Release 1.1.285 (485) for IOS, Android and Web</x:v>
      </x:c>
      <x:c r="C4" s="6" t="str">
        <x:v>Task</x:v>
      </x:c>
      <x:c r="D4" s="6" t="str">
        <x:v>Abraham</x:v>
      </x:c>
      <x:c r="E4" s="6" t="str">
        <x:v>Done</x:v>
      </x:c>
      <x:c r="F4" s="7" t="str">
        <x:v>App, Deployment</x:v>
      </x:c>
      <x:c r="G4" s="12" t="str">
        <x:v>No</x:v>
      </x:c>
    </x:row>
    <x:row r="5">
      <x:c r="A5" s="11" t="str">
        <x:v>HA30-15226</x:v>
      </x:c>
      <x:c r="B5" s="7" t="str">
        <x:v>Prod Web: Deleted Tag – Deleted Date Ascending/Descending Sort Filter Not Working</x:v>
      </x:c>
      <x:c r="C5" s="6" t="str">
        <x:v>Bug</x:v>
      </x:c>
      <x:c r="D5" s="6" t="str">
        <x:v>Alpa Mori</x:v>
      </x:c>
      <x:c r="E5" s="6" t="str">
        <x:v>Ready for Testing</x:v>
      </x:c>
      <x:c r="F5" s="7" t="str">
        <x:v>App, Dev, Prod, QA</x:v>
      </x:c>
      <x:c r="G5" s="12" t="str">
        <x:v>Yes</x:v>
      </x:c>
    </x:row>
    <x:row r="6">
      <x:c r="A6" s="11" t="str">
        <x:v>HA30-15225</x:v>
      </x:c>
      <x:c r="B6" s="7" t="str">
        <x:v>Staging Release 5.0.152 (11) for IOS, Android and Web</x:v>
      </x:c>
      <x:c r="C6" s="6" t="str">
        <x:v>Task</x:v>
      </x:c>
      <x:c r="D6" s="6" t="str">
        <x:v>Abraham</x:v>
      </x:c>
      <x:c r="E6" s="6" t="str">
        <x:v>Done</x:v>
      </x:c>
      <x:c r="F6" s="7" t="str">
        <x:v>App, Deployment</x:v>
      </x:c>
      <x:c r="G6" s="12" t="str">
        <x:v>No</x:v>
      </x:c>
    </x:row>
    <x:row r="7">
      <x:c r="A7" s="11" t="str">
        <x:v>HA30-15223</x:v>
      </x:c>
      <x:c r="B7" s="7" t="str">
        <x:v>Duplicate Activities Are Displayed in Activity Log for a Single Chute Session Movement</x:v>
      </x:c>
      <x:c r="C7" s="6" t="str">
        <x:v>Bug</x:v>
      </x:c>
      <x:c r="D7" s="6" t="str">
        <x:v>gangappan</x:v>
      </x:c>
      <x:c r="E7" s="6" t="str">
        <x:v>New / Open</x:v>
      </x:c>
      <x:c r="F7" s="7" t="str">
        <x:v>App, Dev, QA</x:v>
      </x:c>
      <x:c r="G7" s="12" t="str">
        <x:v>No</x:v>
      </x:c>
    </x:row>
    <x:row r="8">
      <x:c r="A8" s="11" t="str">
        <x:v>HA30-15220</x:v>
      </x:c>
      <x:c r="B8" s="7" t="str">
        <x:v>Staging Release 5.0.152 (10) for IOS, Android and Web</x:v>
      </x:c>
      <x:c r="C8" s="6" t="str">
        <x:v>Task</x:v>
      </x:c>
      <x:c r="D8" s="6" t="str">
        <x:v>Abraham</x:v>
      </x:c>
      <x:c r="E8" s="6" t="str">
        <x:v>New / Open</x:v>
      </x:c>
      <x:c r="F8" s="7" t="str">
        <x:v>App, Deployment</x:v>
      </x:c>
      <x:c r="G8" s="12" t="str">
        <x:v>No</x:v>
      </x:c>
    </x:row>
    <x:row r="9">
      <x:c r="A9" s="11" t="str">
        <x:v>HA30-15219</x:v>
      </x:c>
      <x:c r="B9" s="7" t="str">
        <x:v>Firebase Crash - Stage - AnimalEditableInformationState.build.</x:v>
      </x:c>
      <x:c r="C9" s="6" t="str">
        <x:v>Bug</x:v>
      </x:c>
      <x:c r="D9" s="6" t="str">
        <x:v>Abraham</x:v>
      </x:c>
      <x:c r="E9" s="6" t="str">
        <x:v>Ready for Testing</x:v>
      </x:c>
      <x:c r="F9" s="7" t="str">
        <x:v>App, Dev, Firebase, QA</x:v>
      </x:c>
      <x:c r="G9" s="12" t="str">
        <x:v>No</x:v>
      </x:c>
    </x:row>
    <x:row r="10">
      <x:c r="A10" s="11" t="str">
        <x:v>HA30-15217</x:v>
      </x:c>
      <x:c r="B10" s="7" t="str">
        <x:v>Prod Issue - HSR Reader Name Is Displayed as Null on the all module Scan Page in Offline Mode</x:v>
      </x:c>
      <x:c r="C10" s="6" t="str">
        <x:v>Bug</x:v>
      </x:c>
      <x:c r="D10" s="6" t="str">
        <x:v>ajith</x:v>
      </x:c>
      <x:c r="E10" s="6" t="str">
        <x:v>Done</x:v>
      </x:c>
      <x:c r="F10" s="7" t="str">
        <x:v>App, Dev, Prod, QA</x:v>
      </x:c>
      <x:c r="G10" s="12" t="str">
        <x:v>Yes</x:v>
      </x:c>
    </x:row>
    <x:row r="11">
      <x:c r="A11" s="11" t="str">
        <x:v>HA30-15216</x:v>
      </x:c>
      <x:c r="B11" s="7" t="str">
        <x:v>Firebase Crash - ConsumerStatefulElement.watch</x:v>
      </x:c>
      <x:c r="C11" s="6" t="str">
        <x:v>Bug</x:v>
      </x:c>
      <x:c r="D11" s="6" t="str">
        <x:v>Abraham</x:v>
      </x:c>
      <x:c r="E11" s="6" t="str">
        <x:v>Done</x:v>
      </x:c>
      <x:c r="F11" s="7" t="str">
        <x:v>App, Dev, Firebase, QA</x:v>
      </x:c>
      <x:c r="G11" s="12" t="str">
        <x:v>No</x:v>
      </x:c>
    </x:row>
    <x:row r="12">
      <x:c r="A12" s="11" t="str">
        <x:v>HA30-15215</x:v>
      </x:c>
      <x:c r="B12" s="7" t="str">
        <x:v>Firebase Crash - _LocationReaderContainerState._getSecondaryAntenaFlag.&lt;fn&gt; - Null Error</x:v>
      </x:c>
      <x:c r="C12" s="6" t="str">
        <x:v>Bug</x:v>
      </x:c>
      <x:c r="D12" s="6" t="str">
        <x:v>Abraham</x:v>
      </x:c>
      <x:c r="E12" s="6" t="str">
        <x:v>Ready for Testing</x:v>
      </x:c>
      <x:c r="F12" s="7" t="str">
        <x:v>App, Dev, Firebase, QA</x:v>
      </x:c>
      <x:c r="G12" s="12" t="str">
        <x:v>No</x:v>
      </x:c>
    </x:row>
    <x:row r="13">
      <x:c r="A13" s="11" t="str">
        <x:v>HA30-15214</x:v>
      </x:c>
      <x:c r="B13" s="7" t="str">
        <x:v>Chute session - AI Info not showing, If we disabled the Express Mode</x:v>
      </x:c>
      <x:c r="C13" s="6" t="str">
        <x:v>Bug</x:v>
      </x:c>
      <x:c r="D13" s="6" t="str">
        <x:v>Abraham</x:v>
      </x:c>
      <x:c r="E13" s="6" t="str">
        <x:v>Done</x:v>
      </x:c>
      <x:c r="F13" s="7" t="str">
        <x:v>App, Dev, QA</x:v>
      </x:c>
      <x:c r="G13" s="12" t="str">
        <x:v>No</x:v>
      </x:c>
    </x:row>
    <x:row r="14">
      <x:c r="A14" s="11" t="str">
        <x:v>HA30-15212</x:v>
      </x:c>
      <x:c r="B14" s="7" t="str">
        <x:v>HerdView SnapView: Animal Status by Sex/Type : "Vaquilla" Is Incorrectly Displayed</x:v>
      </x:c>
      <x:c r="C14" s="6" t="str">
        <x:v>Bug</x:v>
      </x:c>
      <x:c r="D14" s="6" t="str">
        <x:v>samuel kishore kumar</x:v>
      </x:c>
      <x:c r="E14" s="6" t="str">
        <x:v>New / Open</x:v>
      </x:c>
      <x:c r="F14" s="7" t="str">
        <x:v>App, Dev, QA</x:v>
      </x:c>
      <x:c r="G14" s="12" t="str">
        <x:v>No</x:v>
      </x:c>
    </x:row>
    <x:row r="15">
      <x:c r="A15" s="11" t="str">
        <x:v>HA30-15211</x:v>
      </x:c>
      <x:c r="B15" s="7" t="str">
        <x:v>Herdview SnapView: Data displayed in HerdView SnapView is not matching between the Web and App versions.</x:v>
      </x:c>
      <x:c r="C15" s="6" t="str">
        <x:v>Bug</x:v>
      </x:c>
      <x:c r="D15" s="6" t="str">
        <x:v>samuel kishore kumar</x:v>
      </x:c>
      <x:c r="E15" s="6" t="str">
        <x:v>New / Open</x:v>
      </x:c>
      <x:c r="F15" s="7" t="str">
        <x:v>App, Dev, QA</x:v>
      </x:c>
      <x:c r="G15" s="12" t="str">
        <x:v>No</x:v>
      </x:c>
    </x:row>
    <x:row r="16">
      <x:c r="A16" s="11" t="str">
        <x:v>HA30-15209</x:v>
      </x:c>
      <x:c r="B16" s="7" t="str">
        <x:v>Run QA Automation Regression Suite on Staging build 5.0.152 (09)</x:v>
      </x:c>
      <x:c r="C16" s="6" t="str">
        <x:v>Task</x:v>
      </x:c>
      <x:c r="D16" s="6" t="str">
        <x:v>Mariappan E</x:v>
      </x:c>
      <x:c r="E16" s="6" t="str">
        <x:v>In Progress</x:v>
      </x:c>
      <x:c r="F16" s="7" t="str">
        <x:v>QAAutomation</x:v>
      </x:c>
      <x:c r="G16" s="12" t="str">
        <x:v>No</x:v>
      </x:c>
    </x:row>
    <x:row r="17">
      <x:c r="A17" s="11" t="str">
        <x:v>HA30-15207</x:v>
      </x:c>
      <x:c r="B17" s="7" t="str">
        <x:v>Staging Release 5.0.152 (09) for IOS, Android and Web</x:v>
      </x:c>
      <x:c r="C17" s="6" t="str">
        <x:v>Task</x:v>
      </x:c>
      <x:c r="D17" s="6" t="str">
        <x:v>Abraham</x:v>
      </x:c>
      <x:c r="E17" s="6" t="str">
        <x:v>Done</x:v>
      </x:c>
      <x:c r="F17" s="7" t="str">
        <x:v>App, Deployment</x:v>
      </x:c>
      <x:c r="G17" s="12" t="str">
        <x:v>No</x:v>
      </x:c>
    </x:row>
    <x:row r="18">
      <x:c r="A18" s="11" t="str">
        <x:v>HA30-15206</x:v>
      </x:c>
      <x:c r="B18" s="7" t="str">
        <x:v>Special Characters and Emojis Are Not Restricted in Activity Log Search</x:v>
      </x:c>
      <x:c r="C18" s="6" t="str">
        <x:v>Bug</x:v>
      </x:c>
      <x:c r="D18" s="6" t="str">
        <x:v>gnana sankar</x:v>
      </x:c>
      <x:c r="E18" s="6" t="str">
        <x:v>Done</x:v>
      </x:c>
      <x:c r="F18" s="7" t="str">
        <x:v>App, Dev, QA</x:v>
      </x:c>
      <x:c r="G18" s="12" t="str">
        <x:v>No</x:v>
      </x:c>
    </x:row>
    <x:row r="19">
      <x:c r="A19" s="11" t="str">
        <x:v>HA30-15204</x:v>
      </x:c>
      <x:c r="B19" s="7" t="str">
        <x:v>Identify and Disable Unnecessary Report Refreshes and Related Jobs</x:v>
      </x:c>
      <x:c r="C19" s="6" t="str">
        <x:v>Task</x:v>
      </x:c>
      <x:c r="D19" s="6" t="str"/>
      <x:c r="E19" s="6" t="str">
        <x:v>New / Open</x:v>
      </x:c>
      <x:c r="F19" s="7" t="str"/>
      <x:c r="G19" s="12" t="str">
        <x:v>No</x:v>
      </x:c>
    </x:row>
    <x:row r="20">
      <x:c r="A20" s="11" t="str">
        <x:v>HA30-15201</x:v>
      </x:c>
      <x:c r="B20" s="7" t="str">
        <x:v>Pregnancy Check – “# of Calves” field cannot be cleared once a value is selected (no “0”/blank option)</x:v>
      </x:c>
      <x:c r="C20" s="6" t="str">
        <x:v>Bug</x:v>
      </x:c>
      <x:c r="D20" s="6" t="str">
        <x:v>ajith</x:v>
      </x:c>
      <x:c r="E20" s="6" t="str">
        <x:v>HerdX Accepted</x:v>
      </x:c>
      <x:c r="F20" s="7" t="str">
        <x:v>App, Dev, QA, Tested</x:v>
      </x:c>
      <x:c r="G20" s="12" t="str">
        <x:v>No</x:v>
      </x:c>
    </x:row>
    <x:row r="21">
      <x:c r="A21" s="11" t="str">
        <x:v>HA30-15199</x:v>
      </x:c>
      <x:c r="B21" s="7" t="str">
        <x:v>Run QA Automation Regression Suite on Staging build 5.0.152 (08)</x:v>
      </x:c>
      <x:c r="C21" s="6" t="str">
        <x:v>Task</x:v>
      </x:c>
      <x:c r="D21" s="6" t="str">
        <x:v>Mariappan E</x:v>
      </x:c>
      <x:c r="E21" s="6" t="str">
        <x:v>Done</x:v>
      </x:c>
      <x:c r="F21" s="7" t="str"/>
      <x:c r="G21" s="12" t="str">
        <x:v>No</x:v>
      </x:c>
    </x:row>
    <x:row r="22">
      <x:c r="A22" s="11" t="str">
        <x:v>HA30-15198</x:v>
      </x:c>
      <x:c r="B22" s="7" t="str">
        <x:v>Cedaco Range Issue - HSR is not assigned to their organization</x:v>
      </x:c>
      <x:c r="C22" s="6" t="str">
        <x:v>Bug</x:v>
      </x:c>
      <x:c r="D22" s="6" t="str">
        <x:v>Abraham</x:v>
      </x:c>
      <x:c r="E22" s="6" t="str">
        <x:v>New / Open</x:v>
      </x:c>
      <x:c r="F22" s="7" t="str">
        <x:v>App, Dev, Prod, QA</x:v>
      </x:c>
      <x:c r="G22" s="12" t="str">
        <x:v>Yes</x:v>
      </x:c>
    </x:row>
    <x:row r="23">
      <x:c r="A23" s="11" t="str">
        <x:v>HA30-15197</x:v>
      </x:c>
      <x:c r="B23" s="7" t="str">
        <x:v>Activity Log -Treatment Status Is Not Displayed Correctly for Animals with Assigned Treatments</x:v>
      </x:c>
      <x:c r="C23" s="6" t="str">
        <x:v>Bug</x:v>
      </x:c>
      <x:c r="D23" s="6" t="str">
        <x:v>gnana sankar</x:v>
      </x:c>
      <x:c r="E23" s="6" t="str">
        <x:v>Done</x:v>
      </x:c>
      <x:c r="F23" s="7" t="str">
        <x:v>App, Dev, QA</x:v>
      </x:c>
      <x:c r="G23" s="12" t="str">
        <x:v>No</x:v>
      </x:c>
    </x:row>
    <x:row r="24">
      <x:c r="A24" s="11" t="str">
        <x:v>HA30-15196</x:v>
      </x:c>
      <x:c r="B24" s="7" t="str">
        <x:v>Complete Android developer verification registration</x:v>
      </x:c>
      <x:c r="C24" s="6" t="str">
        <x:v>Task</x:v>
      </x:c>
      <x:c r="D24" s="6" t="str">
        <x:v>samuel kishore kumar</x:v>
      </x:c>
      <x:c r="E24" s="6" t="str">
        <x:v>New / Open</x:v>
      </x:c>
      <x:c r="F24" s="7" t="str">
        <x:v>App, Dev</x:v>
      </x:c>
      <x:c r="G24" s="12" t="str">
        <x:v>No</x:v>
      </x:c>
    </x:row>
    <x:row r="25">
      <x:c r="A25" s="11" t="str">
        <x:v>HA30-15195</x:v>
      </x:c>
      <x:c r="B25" s="7" t="str">
        <x:v>Activity Log – Upload Excel: Time Is Displayed Incorrectly for Uploaded Fields</x:v>
      </x:c>
      <x:c r="C25" s="6" t="str">
        <x:v>Bug</x:v>
      </x:c>
      <x:c r="D25" s="6" t="str">
        <x:v>ajith</x:v>
      </x:c>
      <x:c r="E25" s="6" t="str">
        <x:v>Done</x:v>
      </x:c>
      <x:c r="F25" s="7" t="str">
        <x:v>App, Dev, QA</x:v>
      </x:c>
      <x:c r="G25" s="12" t="str">
        <x:v>No</x:v>
      </x:c>
    </x:row>
    <x:row r="26">
      <x:c r="A26" s="11" t="str">
        <x:v>HA30-15194</x:v>
      </x:c>
      <x:c r="B26" s="7" t="str">
        <x:v>Chute Session - Save button not enabled for the new tags</x:v>
      </x:c>
      <x:c r="C26" s="6" t="str">
        <x:v>Bug</x:v>
      </x:c>
      <x:c r="D26" s="6" t="str">
        <x:v>Abraham</x:v>
      </x:c>
      <x:c r="E26" s="6" t="str">
        <x:v>New / Open</x:v>
      </x:c>
      <x:c r="F26" s="7" t="str">
        <x:v>App, Dev, QA</x:v>
      </x:c>
      <x:c r="G26" s="12" t="str">
        <x:v>No</x:v>
      </x:c>
    </x:row>
    <x:row r="27">
      <x:c r="A27" s="11" t="str">
        <x:v>HA30-15193</x:v>
      </x:c>
      <x:c r="B27" s="7" t="str">
        <x:v>Beef Program Details Are Not Displayed Correctly in Activity Log After Upload Excel</x:v>
      </x:c>
      <x:c r="C27" s="6" t="str">
        <x:v>Bug</x:v>
      </x:c>
      <x:c r="D27" s="6" t="str">
        <x:v>Saravana Kumar M</x:v>
      </x:c>
      <x:c r="E27" s="6" t="str">
        <x:v>In Progress</x:v>
      </x:c>
      <x:c r="F27" s="7" t="str">
        <x:v>App, Dev, QA</x:v>
      </x:c>
      <x:c r="G27" s="12" t="str">
        <x:v>No</x:v>
      </x:c>
    </x:row>
    <x:row r="28">
      <x:c r="A28" s="11" t="str">
        <x:v>HA30-15192</x:v>
      </x:c>
      <x:c r="B28" s="7" t="str">
        <x:v>Activity Log – Chute Session: Medicine Name Is Not Displayed Properly When Adding Medicine to an Animal</x:v>
      </x:c>
      <x:c r="C28" s="6" t="str">
        <x:v>Bug</x:v>
      </x:c>
      <x:c r="D28" s="6" t="str">
        <x:v>Raji S</x:v>
      </x:c>
      <x:c r="E28" s="6" t="str">
        <x:v>Rejected / Not a Bug</x:v>
      </x:c>
      <x:c r="F28" s="7" t="str">
        <x:v>App, QA</x:v>
      </x:c>
      <x:c r="G28" s="12" t="str">
        <x:v>No</x:v>
      </x:c>
    </x:row>
    <x:row r="29">
      <x:c r="A29" s="11" t="str">
        <x:v>HA30-15190</x:v>
      </x:c>
      <x:c r="B29" s="7" t="str">
        <x:v>Remove USDA Encode Value from Activity Log</x:v>
      </x:c>
      <x:c r="C29" s="6" t="str">
        <x:v>Bug</x:v>
      </x:c>
      <x:c r="D29" s="6" t="str">
        <x:v>gnana sankar</x:v>
      </x:c>
      <x:c r="E29" s="6" t="str">
        <x:v>Done</x:v>
      </x:c>
      <x:c r="F29" s="7" t="str">
        <x:v>App, Dev, QA</x:v>
      </x:c>
      <x:c r="G29" s="12" t="str">
        <x:v>No</x:v>
      </x:c>
    </x:row>
    <x:row r="30">
      <x:c r="A30" s="11" t="str">
        <x:v>HA30-15189</x:v>
      </x:c>
      <x:c r="B30" s="7" t="str">
        <x:v>Staging Release 5.0.152 (08) for IOS, Android and Web</x:v>
      </x:c>
      <x:c r="C30" s="6" t="str">
        <x:v>Task</x:v>
      </x:c>
      <x:c r="D30" s="6" t="str">
        <x:v>Abraham</x:v>
      </x:c>
      <x:c r="E30" s="6" t="str">
        <x:v>Done</x:v>
      </x:c>
      <x:c r="F30" s="7" t="str">
        <x:v>App, Deployment</x:v>
      </x:c>
      <x:c r="G30" s="12" t="str">
        <x:v>No</x:v>
      </x:c>
    </x:row>
    <x:row r="31">
      <x:c r="A31" s="11" t="str">
        <x:v>HA30-15188</x:v>
      </x:c>
      <x:c r="B31" s="7" t="str">
        <x:v>Firebase Crash - Element.widget FlutterError - Null check operator used on a null value</x:v>
      </x:c>
      <x:c r="C31" s="6" t="str">
        <x:v>Bug</x:v>
      </x:c>
      <x:c r="D31" s="6" t="str">
        <x:v>Abraham</x:v>
      </x:c>
      <x:c r="E31" s="6" t="str">
        <x:v>Done</x:v>
      </x:c>
      <x:c r="F31" s="7" t="str">
        <x:v>App, Dev, Firebase, QA</x:v>
      </x:c>
      <x:c r="G31" s="12" t="str">
        <x:v>No</x:v>
      </x:c>
    </x:row>
    <x:row r="32">
      <x:c r="A32" s="11" t="str">
        <x:v>HA30-15187</x:v>
      </x:c>
      <x:c r="B32" s="7" t="str">
        <x:v>Firebase Crash - (null)._extractReplyValueOrThrow</x:v>
      </x:c>
      <x:c r="C32" s="6" t="str">
        <x:v>Bug</x:v>
      </x:c>
      <x:c r="D32" s="6" t="str">
        <x:v>Abraham</x:v>
      </x:c>
      <x:c r="E32" s="6" t="str">
        <x:v>Done</x:v>
      </x:c>
      <x:c r="F32" s="7" t="str">
        <x:v>App, Dev, Firebase, QA</x:v>
      </x:c>
      <x:c r="G32" s="12" t="str">
        <x:v>No</x:v>
      </x:c>
    </x:row>
    <x:row r="33">
      <x:c r="A33" s="11" t="str">
        <x:v>HA30-15186</x:v>
      </x:c>
      <x:c r="B33" s="7" t="str">
        <x:v>Run QA Automation Regression Suite on Staging build 5.0.152 (07)</x:v>
      </x:c>
      <x:c r="C33" s="6" t="str">
        <x:v>Task</x:v>
      </x:c>
      <x:c r="D33" s="6" t="str">
        <x:v>Mariappan E</x:v>
      </x:c>
      <x:c r="E33" s="6" t="str">
        <x:v>Done</x:v>
      </x:c>
      <x:c r="F33" s="7" t="str">
        <x:v>QAAutomation</x:v>
      </x:c>
      <x:c r="G33" s="12" t="str">
        <x:v>No</x:v>
      </x:c>
    </x:row>
    <x:row r="34">
      <x:c r="A34" s="11" t="str">
        <x:v>HA30-15185</x:v>
      </x:c>
      <x:c r="B34" s="7" t="str">
        <x:v>Dev task - Filter Discovery, Index Tuning, Caching</x:v>
      </x:c>
      <x:c r="C34" s="6" t="str">
        <x:v>Task</x:v>
      </x:c>
      <x:c r="D34" s="6" t="str">
        <x:v>samuel kishore kumar</x:v>
      </x:c>
      <x:c r="E34" s="6" t="str">
        <x:v>Done</x:v>
      </x:c>
      <x:c r="F34" s="7" t="str">
        <x:v>App, Dev</x:v>
      </x:c>
      <x:c r="G34" s="12" t="str">
        <x:v>No</x:v>
      </x:c>
    </x:row>
    <x:row r="35">
      <x:c r="A35" s="11" t="str">
        <x:v>HA30-15184</x:v>
      </x:c>
      <x:c r="B35" s="7" t="str">
        <x:v>Dev task - Enable Firebase Crashlytics Reporting in Staging Environment</x:v>
      </x:c>
      <x:c r="C35" s="6" t="str">
        <x:v>Task</x:v>
      </x:c>
      <x:c r="D35" s="6" t="str">
        <x:v>samuel kishore kumar</x:v>
      </x:c>
      <x:c r="E35" s="6" t="str">
        <x:v>Done</x:v>
      </x:c>
      <x:c r="F35" s="7" t="str">
        <x:v>App, Dev</x:v>
      </x:c>
      <x:c r="G35" s="12" t="str">
        <x:v>No</x:v>
      </x:c>
    </x:row>
    <x:row r="36">
      <x:c r="A36" s="11" t="str">
        <x:v>HA30-15183</x:v>
      </x:c>
      <x:c r="B36" s="7" t="str">
        <x:v>Dev task - Real-Time Sync Pipeline, Dead-Letter Queue &amp; Health Engine</x:v>
      </x:c>
      <x:c r="C36" s="6" t="str">
        <x:v>Task</x:v>
      </x:c>
      <x:c r="D36" s="6" t="str">
        <x:v>samuel kishore kumar</x:v>
      </x:c>
      <x:c r="E36" s="6" t="str">
        <x:v>Done</x:v>
      </x:c>
      <x:c r="F36" s="7" t="str">
        <x:v>App, Dev</x:v>
      </x:c>
      <x:c r="G36" s="12" t="str">
        <x:v>No</x:v>
      </x:c>
    </x:row>
    <x:row r="37">
      <x:c r="A37" s="11" t="str">
        <x:v>HA30-15181</x:v>
      </x:c>
      <x:c r="B37" s="7" t="str">
        <x:v>Dev Task - SnapView Report - Database Schema architecture &amp; Data migration engine</x:v>
      </x:c>
      <x:c r="C37" s="6" t="str">
        <x:v>Task</x:v>
      </x:c>
      <x:c r="D37" s="6" t="str">
        <x:v>samuel kishore kumar</x:v>
      </x:c>
      <x:c r="E37" s="6" t="str">
        <x:v>Done</x:v>
      </x:c>
      <x:c r="F37" s="7" t="str">
        <x:v>App, Dev</x:v>
      </x:c>
      <x:c r="G37" s="12" t="str">
        <x:v>No</x:v>
      </x:c>
    </x:row>
    <x:row r="38">
      <x:c r="A38" s="11" t="str">
        <x:v>HA30-15180</x:v>
      </x:c>
      <x:c r="B38" s="7" t="str">
        <x:v>Activity Log Displays Entire Bulk Operation Instead of the Selected Recent Activity</x:v>
      </x:c>
      <x:c r="C38" s="6" t="str">
        <x:v>Bug</x:v>
      </x:c>
      <x:c r="D38" s="6" t="str">
        <x:v>gnana sankar</x:v>
      </x:c>
      <x:c r="E38" s="6" t="str">
        <x:v>Done</x:v>
      </x:c>
      <x:c r="F38" s="7" t="str">
        <x:v>App, Dev, QA</x:v>
      </x:c>
      <x:c r="G38" s="12" t="str">
        <x:v>No</x:v>
      </x:c>
    </x:row>
    <x:row r="39">
      <x:c r="A39" s="11" t="str">
        <x:v>HA30-15179</x:v>
      </x:c>
      <x:c r="B39" s="7" t="str">
        <x:v>Activity Log – Show Animal Movement Only for Enclosure-to-Enclosure Updates</x:v>
      </x:c>
      <x:c r="C39" s="6" t="str">
        <x:v>Bug</x:v>
      </x:c>
      <x:c r="D39" s="6" t="str">
        <x:v>gnana sankar</x:v>
      </x:c>
      <x:c r="E39" s="6" t="str">
        <x:v>Done</x:v>
      </x:c>
      <x:c r="F39" s="7" t="str">
        <x:v>App, Dev, QA</x:v>
      </x:c>
      <x:c r="G39" s="12" t="str">
        <x:v>No</x:v>
      </x:c>
    </x:row>
    <x:row r="40">
      <x:c r="A40" s="11" t="str">
        <x:v>HA30-15178</x:v>
      </x:c>
      <x:c r="B40" s="7" t="str">
        <x:v>Enable Firebase Crashlytics Reporting in Staging Environment</x:v>
      </x:c>
      <x:c r="C40" s="6" t="str">
        <x:v>Story</x:v>
      </x:c>
      <x:c r="D40" s="6" t="str">
        <x:v>samuel kishore kumar</x:v>
      </x:c>
      <x:c r="E40" s="6" t="str">
        <x:v>New / Open</x:v>
      </x:c>
      <x:c r="F40" s="7" t="str">
        <x:v>App</x:v>
      </x:c>
      <x:c r="G40" s="12" t="str">
        <x:v>No</x:v>
      </x:c>
    </x:row>
    <x:row r="41">
      <x:c r="A41" s="11" t="str">
        <x:v>HA30-15177</x:v>
      </x:c>
      <x:c r="B41" s="7" t="str">
        <x:v>Firebase Crash - MedicineInventoryOfflineAdapter.read - Null Check Issue</x:v>
      </x:c>
      <x:c r="C41" s="6" t="str">
        <x:v>Bug</x:v>
      </x:c>
      <x:c r="D41" s="6" t="str">
        <x:v>Abraham</x:v>
      </x:c>
      <x:c r="E41" s="6" t="str">
        <x:v>Done</x:v>
      </x:c>
      <x:c r="F41" s="7" t="str">
        <x:v>App, Dev, Firebase, QA</x:v>
      </x:c>
      <x:c r="G41" s="12" t="str">
        <x:v>No</x:v>
      </x:c>
    </x:row>
    <x:row r="42">
      <x:c r="A42" s="11" t="str">
        <x:v>HA30-15176</x:v>
      </x:c>
      <x:c r="B42" s="7" t="str">
        <x:v>Firebase Crash - Provider._inheritedElementOf - Null Check Error</x:v>
      </x:c>
      <x:c r="C42" s="6" t="str">
        <x:v>Bug</x:v>
      </x:c>
      <x:c r="D42" s="6" t="str">
        <x:v>Abraham</x:v>
      </x:c>
      <x:c r="E42" s="6" t="str">
        <x:v>Done</x:v>
      </x:c>
      <x:c r="F42" s="7" t="str">
        <x:v>App, Dev, Firebase, QA</x:v>
      </x:c>
      <x:c r="G42" s="12" t="str">
        <x:v>No</x:v>
      </x:c>
    </x:row>
    <x:row r="43">
      <x:c r="A43" s="11" t="str">
        <x:v>HA30-15174</x:v>
      </x:c>
      <x:c r="B43" s="7" t="str">
        <x:v>Upload Excel Dev Task - Include Additional IDs in Upload Excel</x:v>
      </x:c>
      <x:c r="C43" s="6" t="str">
        <x:v>Task</x:v>
      </x:c>
      <x:c r="D43" s="6" t="str">
        <x:v>Alpa Mori</x:v>
      </x:c>
      <x:c r="E43" s="6" t="str">
        <x:v>Done</x:v>
      </x:c>
      <x:c r="F43" s="7" t="str">
        <x:v>App, Dev</x:v>
      </x:c>
      <x:c r="G43" s="12" t="str">
        <x:v>No</x:v>
      </x:c>
    </x:row>
    <x:row r="44">
      <x:c r="A44" s="11" t="str">
        <x:v>HA30-15173</x:v>
      </x:c>
      <x:c r="B44" s="7" t="str">
        <x:v>Firebase Crash - While Navigating from Dashboard in iPhone Crash is coming in Terminal</x:v>
      </x:c>
      <x:c r="C44" s="6" t="str">
        <x:v>Bug</x:v>
      </x:c>
      <x:c r="D44" s="6" t="str">
        <x:v>Abraham</x:v>
      </x:c>
      <x:c r="E44" s="6" t="str">
        <x:v>Done</x:v>
      </x:c>
      <x:c r="F44" s="7" t="str">
        <x:v>App, Dev, Firebase, QA</x:v>
      </x:c>
      <x:c r="G44" s="12" t="str">
        <x:v>No</x:v>
      </x:c>
    </x:row>
    <x:row r="45">
      <x:c r="A45" s="11" t="str">
        <x:v>HA30-15172</x:v>
      </x:c>
      <x:c r="B45" s="7" t="str">
        <x:v>Tag IDs not Showing Up in Inventory During Chute Session</x:v>
      </x:c>
      <x:c r="C45" s="6" t="str">
        <x:v>Bug</x:v>
      </x:c>
      <x:c r="D45" s="6" t="str">
        <x:v>Samuel Parker</x:v>
      </x:c>
      <x:c r="E45" s="6" t="str">
        <x:v>Ready for Testing</x:v>
      </x:c>
      <x:c r="F45" s="7" t="str">
        <x:v>App, Dev, Prod, QA</x:v>
      </x:c>
      <x:c r="G45" s="12" t="str">
        <x:v>Yes</x:v>
      </x:c>
    </x:row>
    <x:row r="46">
      <x:c r="A46" s="11" t="str">
        <x:v>HA30-15171</x:v>
      </x:c>
      <x:c r="B46" s="7" t="str">
        <x:v>Feed Information Now Showing Up in Ogle Farms</x:v>
      </x:c>
      <x:c r="C46" s="6" t="str">
        <x:v>Bug</x:v>
      </x:c>
      <x:c r="D46" s="6" t="str">
        <x:v>Samuel Parker</x:v>
      </x:c>
      <x:c r="E46" s="6" t="str">
        <x:v>Ready for Testing</x:v>
      </x:c>
      <x:c r="F46" s="7" t="str">
        <x:v>App, Dev, Prod, QA</x:v>
      </x:c>
      <x:c r="G46" s="12" t="str">
        <x:v>Yes</x:v>
      </x:c>
    </x:row>
    <x:row r="47">
      <x:c r="A47" s="11" t="str">
        <x:v>HA30-15166</x:v>
      </x:c>
      <x:c r="B47" s="7" t="str">
        <x:v>Dev Task - Geospatial Mapping Engine &amp; Treatment Medicine Analytics</x:v>
      </x:c>
      <x:c r="C47" s="6" t="str">
        <x:v>Task</x:v>
      </x:c>
      <x:c r="D47" s="6" t="str">
        <x:v>samuel kishore kumar</x:v>
      </x:c>
      <x:c r="E47" s="6" t="str">
        <x:v>Done</x:v>
      </x:c>
      <x:c r="F47" s="7" t="str">
        <x:v>Dev, app</x:v>
      </x:c>
      <x:c r="G47" s="12" t="str">
        <x:v>No</x:v>
      </x:c>
    </x:row>
    <x:row r="48">
      <x:c r="A48" s="11" t="str">
        <x:v>HA30-15165</x:v>
      </x:c>
      <x:c r="B48" s="7" t="str">
        <x:v>Staging Release 5.0.152 (07) for IOS, Android and Web</x:v>
      </x:c>
      <x:c r="C48" s="6" t="str">
        <x:v>Task</x:v>
      </x:c>
      <x:c r="D48" s="6" t="str">
        <x:v>Abraham</x:v>
      </x:c>
      <x:c r="E48" s="6" t="str">
        <x:v>Done</x:v>
      </x:c>
      <x:c r="F48" s="7" t="str"/>
      <x:c r="G48" s="12" t="str">
        <x:v>No</x:v>
      </x:c>
    </x:row>
    <x:row r="49">
      <x:c r="A49" s="11" t="str">
        <x:v>HA30-15163</x:v>
      </x:c>
      <x:c r="B49" s="7" t="str">
        <x:v>Dev task - SnapView Report - Distribution Analytics: Time on Yard &amp; Demographics</x:v>
      </x:c>
      <x:c r="C49" s="6" t="str">
        <x:v>Task</x:v>
      </x:c>
      <x:c r="D49" s="6" t="str">
        <x:v>samuel kishore kumar</x:v>
      </x:c>
      <x:c r="E49" s="6" t="str">
        <x:v>Done</x:v>
      </x:c>
      <x:c r="F49" s="7" t="str">
        <x:v>App, Dev</x:v>
      </x:c>
      <x:c r="G49" s="12" t="str">
        <x:v>No</x:v>
      </x:c>
    </x:row>
    <x:row r="50">
      <x:c r="A50" s="11" t="str">
        <x:v>HA30-15161</x:v>
      </x:c>
      <x:c r="B50" s="7" t="str">
        <x:v>Dev Task SnapView Report - Core KPI engine and Financial outcome resolvers</x:v>
      </x:c>
      <x:c r="C50" s="6" t="str">
        <x:v>Task</x:v>
      </x:c>
      <x:c r="D50" s="6" t="str">
        <x:v>samuel kishore kumar</x:v>
      </x:c>
      <x:c r="E50" s="6" t="str">
        <x:v>Done</x:v>
      </x:c>
      <x:c r="F50" s="7" t="str">
        <x:v>App, Dev</x:v>
      </x:c>
      <x:c r="G50" s="12" t="str">
        <x:v>No</x:v>
      </x:c>
    </x:row>
    <x:row r="51">
      <x:c r="A51" s="11" t="str">
        <x:v>HA30-15160</x:v>
      </x:c>
      <x:c r="B51" s="7" t="str">
        <x:v>Add Medicine Page Opens Multiple Times When Plus Icon Is Clicked Repeatedly</x:v>
      </x:c>
      <x:c r="C51" s="6" t="str">
        <x:v>Bug</x:v>
      </x:c>
      <x:c r="D51" s="6" t="str">
        <x:v>gnana sankar</x:v>
      </x:c>
      <x:c r="E51" s="6" t="str">
        <x:v>Done</x:v>
      </x:c>
      <x:c r="F51" s="7" t="str">
        <x:v>App, Dev, QA</x:v>
      </x:c>
      <x:c r="G51" s="12" t="str">
        <x:v>No</x:v>
      </x:c>
    </x:row>
    <x:row r="52">
      <x:c r="A52" s="11" t="str">
        <x:v>HA30-15159</x:v>
      </x:c>
      <x:c r="B52" s="7" t="str">
        <x:v>Activity Log - Chute session - Weight update</x:v>
      </x:c>
      <x:c r="C52" s="6" t="str">
        <x:v>Task</x:v>
      </x:c>
      <x:c r="D52" s="6" t="str">
        <x:v>Allwin. T</x:v>
      </x:c>
      <x:c r="E52" s="6" t="str">
        <x:v>Done</x:v>
      </x:c>
      <x:c r="F52" s="7" t="str">
        <x:v>ActivityLog, App, ChuteSession, Dev</x:v>
      </x:c>
      <x:c r="G52" s="12" t="str">
        <x:v>No</x:v>
      </x:c>
    </x:row>
    <x:row r="53">
      <x:c r="A53" s="11" t="str">
        <x:v>HA30-15158</x:v>
      </x:c>
      <x:c r="B53" s="7" t="str">
        <x:v>Remove “Not Specified” Text from the Web App Navigation Menu</x:v>
      </x:c>
      <x:c r="C53" s="6" t="str">
        <x:v>Bug</x:v>
      </x:c>
      <x:c r="D53" s="6" t="str">
        <x:v>gnana sankar</x:v>
      </x:c>
      <x:c r="E53" s="6" t="str">
        <x:v>Done</x:v>
      </x:c>
      <x:c r="F53" s="7" t="str">
        <x:v>App, Dev, QA</x:v>
      </x:c>
      <x:c r="G53" s="12" t="str">
        <x:v>No</x:v>
      </x:c>
    </x:row>
    <x:row r="54">
      <x:c r="A54" s="11" t="str">
        <x:v>HA30-15157</x:v>
      </x:c>
      <x:c r="B54" s="7" t="str">
        <x:v>QA Task - Show Text Field When Selecting Other Breed</x:v>
      </x:c>
      <x:c r="C54" s="6" t="str">
        <x:v>Task</x:v>
      </x:c>
      <x:c r="D54" s="6" t="str">
        <x:v>Abraham</x:v>
      </x:c>
      <x:c r="E54" s="6" t="str">
        <x:v>Done</x:v>
      </x:c>
      <x:c r="F54" s="7" t="str">
        <x:v>App, QA</x:v>
      </x:c>
      <x:c r="G54" s="12" t="str">
        <x:v>No</x:v>
      </x:c>
    </x:row>
    <x:row r="55">
      <x:c r="A55" s="11" t="str">
        <x:v>HA30-15156</x:v>
      </x:c>
      <x:c r="B55" s="7" t="str">
        <x:v>Display Informative Message When Deleting a Breed Assigned to Animals</x:v>
      </x:c>
      <x:c r="C55" s="6" t="str">
        <x:v>Improvement</x:v>
      </x:c>
      <x:c r="D55" s="6" t="str">
        <x:v>samuel kishore kumar</x:v>
      </x:c>
      <x:c r="E55" s="6" t="str">
        <x:v>New / Open</x:v>
      </x:c>
      <x:c r="F55" s="7" t="str">
        <x:v>App, Dev, QA</x:v>
      </x:c>
      <x:c r="G55" s="12" t="str">
        <x:v>No</x:v>
      </x:c>
    </x:row>
    <x:row r="56">
      <x:c r="A56" s="11" t="str">
        <x:v>HA30-15155</x:v>
      </x:c>
      <x:c r="B56" s="7" t="str">
        <x:v>Activity Log – Chute Process Page: Activity Time Displayed Incorrectly</x:v>
      </x:c>
      <x:c r="C56" s="6" t="str">
        <x:v>Bug</x:v>
      </x:c>
      <x:c r="D56" s="6" t="str">
        <x:v>Raji S</x:v>
      </x:c>
      <x:c r="E56" s="6" t="str">
        <x:v>Done</x:v>
      </x:c>
      <x:c r="F56" s="7" t="str">
        <x:v>App, Dev, QA</x:v>
      </x:c>
      <x:c r="G56" s="12" t="str">
        <x:v>No</x:v>
      </x:c>
    </x:row>
    <x:row r="57">
      <x:c r="A57" s="11" t="str">
        <x:v>HA30-15154</x:v>
      </x:c>
      <x:c r="B57" s="7" t="str">
        <x:v>Staging Release 5.0.152 (06) for IOS, Android and Web</x:v>
      </x:c>
      <x:c r="C57" s="6" t="str">
        <x:v>Task</x:v>
      </x:c>
      <x:c r="D57" s="6" t="str">
        <x:v>Abraham</x:v>
      </x:c>
      <x:c r="E57" s="6" t="str">
        <x:v>Done</x:v>
      </x:c>
      <x:c r="F57" s="7" t="str"/>
      <x:c r="G57" s="12" t="str">
        <x:v>No</x:v>
      </x:c>
    </x:row>
    <x:row r="58">
      <x:c r="A58" s="11" t="str">
        <x:v>HA30-15153</x:v>
      </x:c>
      <x:c r="B58" s="7" t="str">
        <x:v>Firebase Crash - UnmodifiableListMixin.remove</x:v>
      </x:c>
      <x:c r="C58" s="6" t="str">
        <x:v>Bug</x:v>
      </x:c>
      <x:c r="D58" s="6" t="str">
        <x:v>Abraham</x:v>
      </x:c>
      <x:c r="E58" s="6" t="str">
        <x:v>Done</x:v>
      </x:c>
      <x:c r="F58" s="7" t="str">
        <x:v>App, Dev, Firebase, QA</x:v>
      </x:c>
      <x:c r="G58" s="12" t="str">
        <x:v>No</x:v>
      </x:c>
    </x:row>
    <x:row r="59">
      <x:c r="A59" s="11" t="str">
        <x:v>HA30-15152</x:v>
      </x:c>
      <x:c r="B59" s="7" t="str">
        <x:v>Activity Log – Chute Session: Animal Count Not Displayed as 1 After Scanning</x:v>
      </x:c>
      <x:c r="C59" s="6" t="str">
        <x:v>Bug</x:v>
      </x:c>
      <x:c r="D59" s="6" t="str">
        <x:v>Raji S</x:v>
      </x:c>
      <x:c r="E59" s="6" t="str">
        <x:v>Done</x:v>
      </x:c>
      <x:c r="F59" s="7" t="str">
        <x:v>App, Dev, QA</x:v>
      </x:c>
      <x:c r="G59" s="12" t="str">
        <x:v>No</x:v>
      </x:c>
    </x:row>
    <x:row r="60">
      <x:c r="A60" s="11" t="str">
        <x:v>HA30-15151</x:v>
      </x:c>
      <x:c r="B60" s="7" t="str">
        <x:v>Breed Validation Does Not Prevent Duplicate Breed Entries in “Other” Category</x:v>
      </x:c>
      <x:c r="C60" s="6" t="str">
        <x:v>Bug</x:v>
      </x:c>
      <x:c r="D60" s="6" t="str">
        <x:v>gnana sankar</x:v>
      </x:c>
      <x:c r="E60" s="6" t="str">
        <x:v>Done</x:v>
      </x:c>
      <x:c r="F60" s="7" t="str">
        <x:v>App, Dev, QA</x:v>
      </x:c>
      <x:c r="G60" s="12" t="str">
        <x:v>No</x:v>
      </x:c>
    </x:row>
    <x:row r="61">
      <x:c r="A61" s="11" t="str">
        <x:v>HA30-15150</x:v>
      </x:c>
      <x:c r="B61" s="7" t="str">
        <x:v>Not able to type more than one letter in common information (Pen or pasture)</x:v>
      </x:c>
      <x:c r="C61" s="6" t="str">
        <x:v>Bug</x:v>
      </x:c>
      <x:c r="D61" s="6" t="str">
        <x:v>Abraham</x:v>
      </x:c>
      <x:c r="E61" s="6" t="str">
        <x:v>HerdX Accepted</x:v>
      </x:c>
      <x:c r="F61" s="7" t="str">
        <x:v>App, Dev, QA</x:v>
      </x:c>
      <x:c r="G61" s="12" t="str">
        <x:v>No</x:v>
      </x:c>
    </x:row>
    <x:row r="62">
      <x:c r="A62" s="11" t="str">
        <x:v>HA30-15149</x:v>
      </x:c>
      <x:c r="B62" s="7" t="str">
        <x:v>Backdate AI Breeding Date</x:v>
      </x:c>
      <x:c r="C62" s="6" t="str">
        <x:v>Task</x:v>
      </x:c>
      <x:c r="D62" s="6" t="str">
        <x:v>gangappan</x:v>
      </x:c>
      <x:c r="E62" s="6" t="str">
        <x:v>New / Open</x:v>
      </x:c>
      <x:c r="F62" s="7" t="str">
        <x:v>App, Dev, QA</x:v>
      </x:c>
      <x:c r="G62" s="12" t="str">
        <x:v>No</x:v>
      </x:c>
    </x:row>
    <x:row r="63">
      <x:c r="A63" s="11" t="str">
        <x:v>HA30-15148</x:v>
      </x:c>
      <x:c r="B63" s="7" t="str">
        <x:v>Run QA Automation Regression Suite on Staging build 5.0.152 (05)</x:v>
      </x:c>
      <x:c r="C63" s="6" t="str">
        <x:v>Task</x:v>
      </x:c>
      <x:c r="D63" s="6" t="str">
        <x:v>Mariappan E</x:v>
      </x:c>
      <x:c r="E63" s="6" t="str">
        <x:v>Done</x:v>
      </x:c>
      <x:c r="F63" s="7" t="str">
        <x:v>QAAutomation</x:v>
      </x:c>
      <x:c r="G63" s="12" t="str">
        <x:v>No</x:v>
      </x:c>
    </x:row>
    <x:row r="64">
      <x:c r="A64" s="11" t="str">
        <x:v>HA30-15147</x:v>
      </x:c>
      <x:c r="B64" s="7" t="str">
        <x:v>Filter Discovery, Index Tuning, Caching</x:v>
      </x:c>
      <x:c r="C64" s="6" t="str">
        <x:v>Story</x:v>
      </x:c>
      <x:c r="D64" s="6" t="str">
        <x:v>samuel kishore kumar</x:v>
      </x:c>
      <x:c r="E64" s="6" t="str">
        <x:v>New / Open</x:v>
      </x:c>
      <x:c r="F64" s="7" t="str">
        <x:v>App</x:v>
      </x:c>
      <x:c r="G64" s="12" t="str">
        <x:v>No</x:v>
      </x:c>
    </x:row>
    <x:row r="65">
      <x:c r="A65" s="11" t="str">
        <x:v>HA30-15146</x:v>
      </x:c>
      <x:c r="B65" s="7" t="str">
        <x:v>Geospatial Mapping Engine &amp; Treatment Medicine Analytics</x:v>
      </x:c>
      <x:c r="C65" s="6" t="str">
        <x:v>Story</x:v>
      </x:c>
      <x:c r="D65" s="6" t="str">
        <x:v>samuel kishore kumar</x:v>
      </x:c>
      <x:c r="E65" s="6" t="str">
        <x:v>New / Open</x:v>
      </x:c>
      <x:c r="F65" s="7" t="str">
        <x:v>App</x:v>
      </x:c>
      <x:c r="G65" s="12" t="str">
        <x:v>No</x:v>
      </x:c>
    </x:row>
    <x:row r="66">
      <x:c r="A66" s="11" t="str">
        <x:v>HA30-15145</x:v>
      </x:c>
      <x:c r="B66" s="7" t="str">
        <x:v>Real-Time Sync Pipeline, Dead-Letter Queue &amp; Health Engine</x:v>
      </x:c>
      <x:c r="C66" s="6" t="str">
        <x:v>Story</x:v>
      </x:c>
      <x:c r="D66" s="6" t="str">
        <x:v>samuel kishore kumar</x:v>
      </x:c>
      <x:c r="E66" s="6" t="str">
        <x:v>New / Open</x:v>
      </x:c>
      <x:c r="F66" s="7" t="str">
        <x:v>App</x:v>
      </x:c>
      <x:c r="G66" s="12" t="str">
        <x:v>No</x:v>
      </x:c>
    </x:row>
    <x:row r="67">
      <x:c r="A67" s="11" t="str">
        <x:v>HA30-15144</x:v>
      </x:c>
      <x:c r="B67" s="7" t="str">
        <x:v>SnapView Report - Distribution Analytics: Time on Yard &amp; Demographics</x:v>
      </x:c>
      <x:c r="C67" s="6" t="str">
        <x:v>Story</x:v>
      </x:c>
      <x:c r="D67" s="6" t="str">
        <x:v>samuel kishore kumar</x:v>
      </x:c>
      <x:c r="E67" s="6" t="str">
        <x:v>New / Open</x:v>
      </x:c>
      <x:c r="F67" s="7" t="str">
        <x:v>App</x:v>
      </x:c>
      <x:c r="G67" s="12" t="str">
        <x:v>No</x:v>
      </x:c>
    </x:row>
    <x:row r="68">
      <x:c r="A68" s="11" t="str">
        <x:v>HA30-15143</x:v>
      </x:c>
      <x:c r="B68" s="7" t="str">
        <x:v>SnapView Report - Core KPI engine and Financial outcome resolvers</x:v>
      </x:c>
      <x:c r="C68" s="6" t="str">
        <x:v>Story</x:v>
      </x:c>
      <x:c r="D68" s="6" t="str">
        <x:v>samuel kishore kumar</x:v>
      </x:c>
      <x:c r="E68" s="6" t="str">
        <x:v>New / Open</x:v>
      </x:c>
      <x:c r="F68" s="7" t="str">
        <x:v>App</x:v>
      </x:c>
      <x:c r="G68" s="12" t="str">
        <x:v>No</x:v>
      </x:c>
    </x:row>
    <x:row r="69">
      <x:c r="A69" s="11" t="str">
        <x:v>HA30-15142</x:v>
      </x:c>
      <x:c r="B69" s="7" t="str">
        <x:v>SnapView Report - Database Schema architecture &amp; Data migration engine</x:v>
      </x:c>
      <x:c r="C69" s="6" t="str">
        <x:v>Story</x:v>
      </x:c>
      <x:c r="D69" s="6" t="str">
        <x:v>samuel kishore kumar</x:v>
      </x:c>
      <x:c r="E69" s="6" t="str">
        <x:v>New / Open</x:v>
      </x:c>
      <x:c r="F69" s="7" t="str">
        <x:v>App</x:v>
      </x:c>
      <x:c r="G69" s="12" t="str">
        <x:v>No</x:v>
      </x:c>
    </x:row>
    <x:row r="70">
      <x:c r="A70" s="11" t="str">
        <x:v>HA30-15141</x:v>
      </x:c>
      <x:c r="B70" s="7" t="str">
        <x:v>Activity Log – Blank Screen Displayed When No Matching Activity Is Found</x:v>
      </x:c>
      <x:c r="C70" s="6" t="str">
        <x:v>Bug</x:v>
      </x:c>
      <x:c r="D70" s="6" t="str">
        <x:v>ajith</x:v>
      </x:c>
      <x:c r="E70" s="6" t="str">
        <x:v>Done</x:v>
      </x:c>
      <x:c r="F70" s="7" t="str">
        <x:v>App, Dev, QA</x:v>
      </x:c>
      <x:c r="G70" s="12" t="str">
        <x:v>No</x:v>
      </x:c>
    </x:row>
    <x:row r="71">
      <x:c r="A71" s="11" t="str">
        <x:v>HA30-15140</x:v>
      </x:c>
      <x:c r="B71" s="7" t="str">
        <x:v>Activity Log - Chute Session - Front end development for activities and details for adding new animals</x:v>
      </x:c>
      <x:c r="C71" s="6" t="str">
        <x:v>Task</x:v>
      </x:c>
      <x:c r="D71" s="6" t="str">
        <x:v>Allwin. T</x:v>
      </x:c>
      <x:c r="E71" s="6" t="str">
        <x:v>Done</x:v>
      </x:c>
      <x:c r="F71" s="7" t="str">
        <x:v>ActivityLog, App, ChuteSession, Dev</x:v>
      </x:c>
      <x:c r="G71" s="12" t="str">
        <x:v>No</x:v>
      </x:c>
    </x:row>
    <x:row r="72">
      <x:c r="A72" s="11" t="str">
        <x:v>HA30-15139</x:v>
      </x:c>
      <x:c r="B72" s="7" t="str">
        <x:v>Activity Log – UI Issue on iPad</x:v>
      </x:c>
      <x:c r="C72" s="6" t="str">
        <x:v>Bug</x:v>
      </x:c>
      <x:c r="D72" s="6" t="str">
        <x:v>Raji S</x:v>
      </x:c>
      <x:c r="E72" s="6" t="str">
        <x:v>Done</x:v>
      </x:c>
      <x:c r="F72" s="7" t="str">
        <x:v>App, Dev, QA</x:v>
      </x:c>
      <x:c r="G72" s="12" t="str">
        <x:v>No</x:v>
      </x:c>
    </x:row>
    <x:row r="73">
      <x:c r="A73" s="11" t="str">
        <x:v>HA30-15138</x:v>
      </x:c>
      <x:c r="B73" s="7" t="str">
        <x:v>Activity Log – “Something went wrong” Message Displayed While Performing Animal Movement in Chute Session</x:v>
      </x:c>
      <x:c r="C73" s="6" t="str">
        <x:v>Bug</x:v>
      </x:c>
      <x:c r="D73" s="6" t="str">
        <x:v>Raji S</x:v>
      </x:c>
      <x:c r="E73" s="6" t="str">
        <x:v>Done</x:v>
      </x:c>
      <x:c r="F73" s="7" t="str">
        <x:v>App, Dev, QA</x:v>
      </x:c>
      <x:c r="G73" s="12" t="str">
        <x:v>No</x:v>
      </x:c>
    </x:row>
    <x:row r="74">
      <x:c r="A74" s="11" t="str">
        <x:v>HA30-15137</x:v>
      </x:c>
      <x:c r="B74" s="7" t="str">
        <x:v>Dashboard – Activity Log – Notifications Option Is Highlighted Instead of Dashboard After Returning from Activity Log on Tablet</x:v>
      </x:c>
      <x:c r="C74" s="6" t="str">
        <x:v>Bug</x:v>
      </x:c>
      <x:c r="D74" s="6" t="str">
        <x:v>ajith</x:v>
      </x:c>
      <x:c r="E74" s="6" t="str">
        <x:v>Done</x:v>
      </x:c>
      <x:c r="F74" s="7" t="str">
        <x:v>App, Dev, QA</x:v>
      </x:c>
      <x:c r="G74" s="12" t="str">
        <x:v>No</x:v>
      </x:c>
    </x:row>
    <x:row r="75">
      <x:c r="A75" s="11" t="str">
        <x:v>HA30-15136</x:v>
      </x:c>
      <x:c r="B75" s="7" t="str">
        <x:v>Staging Release 5.0.152 (05) for IOS, Android and Web</x:v>
      </x:c>
      <x:c r="C75" s="6" t="str">
        <x:v>Task</x:v>
      </x:c>
      <x:c r="D75" s="6" t="str">
        <x:v>Abraham</x:v>
      </x:c>
      <x:c r="E75" s="6" t="str">
        <x:v>Done</x:v>
      </x:c>
      <x:c r="F75" s="7" t="str">
        <x:v>App, Deployment</x:v>
      </x:c>
      <x:c r="G75" s="12" t="str">
        <x:v>No</x:v>
      </x:c>
    </x:row>
    <x:row r="76">
      <x:c r="A76" s="11" t="str">
        <x:v>HA30-15132</x:v>
      </x:c>
      <x:c r="B76" s="7" t="str">
        <x:v>Activity Log - Chute session - Animal Movement</x:v>
      </x:c>
      <x:c r="C76" s="6" t="str">
        <x:v>Task</x:v>
      </x:c>
      <x:c r="D76" s="6" t="str">
        <x:v>Allwin. T</x:v>
      </x:c>
      <x:c r="E76" s="6" t="str">
        <x:v>Done</x:v>
      </x:c>
      <x:c r="F76" s="7" t="str"/>
      <x:c r="G76" s="12" t="str">
        <x:v>No</x:v>
      </x:c>
    </x:row>
    <x:row r="77">
      <x:c r="A77" s="11" t="str">
        <x:v>HA30-15131</x:v>
      </x:c>
      <x:c r="B77" s="7" t="str">
        <x:v>PROD: Calving Filter Is Not Working</x:v>
      </x:c>
      <x:c r="C77" s="6" t="str">
        <x:v>Task</x:v>
      </x:c>
      <x:c r="D77" s="6" t="str">
        <x:v>gangappan</x:v>
      </x:c>
      <x:c r="E77" s="6" t="str">
        <x:v>New / Open</x:v>
      </x:c>
      <x:c r="F77" s="7" t="str">
        <x:v>App, Dev, QA</x:v>
      </x:c>
      <x:c r="G77" s="12" t="str">
        <x:v>Yes</x:v>
      </x:c>
    </x:row>
    <x:row r="78">
      <x:c r="A78" s="11" t="str">
        <x:v>HA30-15130</x:v>
      </x:c>
      <x:c r="B78" s="7" t="str">
        <x:v>QA Task - Update other language Sex/type in animal collection to English</x:v>
      </x:c>
      <x:c r="C78" s="6" t="str">
        <x:v>Task</x:v>
      </x:c>
      <x:c r="D78" s="6" t="str">
        <x:v>Abraham</x:v>
      </x:c>
      <x:c r="E78" s="6" t="str">
        <x:v>Done</x:v>
      </x:c>
      <x:c r="F78" s="7" t="str">
        <x:v>App, QA</x:v>
      </x:c>
      <x:c r="G78" s="12" t="str">
        <x:v>No</x:v>
      </x:c>
    </x:row>
    <x:row r="79">
      <x:c r="A79" s="11" t="str">
        <x:v>HA30-15129</x:v>
      </x:c>
      <x:c r="B79" s="7" t="str">
        <x:v>Dashboard – Activity Log – Incorrect Time Displayed for Upload Excel Add/Edit Activity</x:v>
      </x:c>
      <x:c r="C79" s="6" t="str">
        <x:v>Bug</x:v>
      </x:c>
      <x:c r="D79" s="6" t="str">
        <x:v>ajith</x:v>
      </x:c>
      <x:c r="E79" s="6" t="str">
        <x:v>Done</x:v>
      </x:c>
      <x:c r="F79" s="7" t="str">
        <x:v>App, Dev, QA</x:v>
      </x:c>
      <x:c r="G79" s="12" t="str">
        <x:v>No</x:v>
      </x:c>
    </x:row>
    <x:row r="80">
      <x:c r="A80" s="11" t="str">
        <x:v>HA30-15128</x:v>
      </x:c>
      <x:c r="B80" s="7" t="str">
        <x:v>Run QA Automation Regression Suite on Staging build 5.0.152 (04)</x:v>
      </x:c>
      <x:c r="C80" s="6" t="str">
        <x:v>Task</x:v>
      </x:c>
      <x:c r="D80" s="6" t="str">
        <x:v>Mariappan E</x:v>
      </x:c>
      <x:c r="E80" s="6" t="str">
        <x:v>Done</x:v>
      </x:c>
      <x:c r="F80" s="7" t="str">
        <x:v>QAAutomation</x:v>
      </x:c>
      <x:c r="G80" s="12" t="str">
        <x:v>No</x:v>
      </x:c>
    </x:row>
    <x:row r="81">
      <x:c r="A81" s="11" t="str">
        <x:v>HA30-15127</x:v>
      </x:c>
      <x:c r="B81" s="7" t="str">
        <x:v>Update other language Sex/type in animal collection to English</x:v>
      </x:c>
      <x:c r="C81" s="6" t="str">
        <x:v>Task</x:v>
      </x:c>
      <x:c r="D81" s="6" t="str">
        <x:v>gangappan</x:v>
      </x:c>
      <x:c r="E81" s="6" t="str">
        <x:v>Done</x:v>
      </x:c>
      <x:c r="F81" s="7" t="str">
        <x:v>App</x:v>
      </x:c>
      <x:c r="G81" s="12" t="str">
        <x:v>No</x:v>
      </x:c>
    </x:row>
    <x:row r="82">
      <x:c r="A82" s="11" t="str">
        <x:v>HA30-15126</x:v>
      </x:c>
      <x:c r="B82" s="7" t="str">
        <x:v>Run QA Automation Regression Suite on Production Hot Fix 1.1.284 (484)</x:v>
      </x:c>
      <x:c r="C82" s="6" t="str">
        <x:v>Task</x:v>
      </x:c>
      <x:c r="D82" s="6" t="str">
        <x:v>Mariappan E</x:v>
      </x:c>
      <x:c r="E82" s="6" t="str">
        <x:v>Done</x:v>
      </x:c>
      <x:c r="F82" s="7" t="str">
        <x:v>QAAutomation</x:v>
      </x:c>
      <x:c r="G82" s="12" t="str">
        <x:v>No</x:v>
      </x:c>
    </x:row>
    <x:row r="83">
      <x:c r="A83" s="11" t="str">
        <x:v>HA30-15125</x:v>
      </x:c>
      <x:c r="B83" s="7" t="str">
        <x:v>Firebase Crash - NewCountingSessionSummaryCubit.refreshToken</x:v>
      </x:c>
      <x:c r="C83" s="6" t="str">
        <x:v>Bug</x:v>
      </x:c>
      <x:c r="D83" s="6" t="str">
        <x:v>Abraham</x:v>
      </x:c>
      <x:c r="E83" s="6" t="str">
        <x:v>Done</x:v>
      </x:c>
      <x:c r="F83" s="7" t="str">
        <x:v>App, Dev, Firebase, QA</x:v>
      </x:c>
      <x:c r="G83" s="12" t="str">
        <x:v>No</x:v>
      </x:c>
    </x:row>
    <x:row r="84">
      <x:c r="A84" s="11" t="str">
        <x:v>HA30-15124</x:v>
      </x:c>
      <x:c r="B84" s="7" t="str">
        <x:v>Activity Log Page: Filter Is Not Refreshed After Clearing Search Text</x:v>
      </x:c>
      <x:c r="C84" s="6" t="str">
        <x:v>Bug</x:v>
      </x:c>
      <x:c r="D84" s="6" t="str">
        <x:v>Raji S</x:v>
      </x:c>
      <x:c r="E84" s="6" t="str">
        <x:v>Done</x:v>
      </x:c>
      <x:c r="F84" s="7" t="str">
        <x:v>App, Dev, QA</x:v>
      </x:c>
      <x:c r="G84" s="12" t="str">
        <x:v>No</x:v>
      </x:c>
    </x:row>
    <x:row r="85">
      <x:c r="A85" s="11" t="str">
        <x:v>HA30-15123</x:v>
      </x:c>
      <x:c r="B85" s="7" t="str">
        <x:v>Upload Excel (Add) – Activity Log Is Not Updated Until Manual Sync Is Performed</x:v>
      </x:c>
      <x:c r="C85" s="6" t="str">
        <x:v>Bug</x:v>
      </x:c>
      <x:c r="D85" s="6" t="str">
        <x:v>ajith</x:v>
      </x:c>
      <x:c r="E85" s="6" t="str">
        <x:v>Done</x:v>
      </x:c>
      <x:c r="F85" s="7" t="str">
        <x:v>App, Dev, QA</x:v>
      </x:c>
      <x:c r="G85" s="12" t="str">
        <x:v>No</x:v>
      </x:c>
    </x:row>
    <x:row r="86">
      <x:c r="A86" s="11" t="str">
        <x:v>HA30-15122</x:v>
      </x:c>
      <x:c r="B86" s="7" t="str">
        <x:v>Activity Log Not Displayed on Dashboard in Offline Mode</x:v>
      </x:c>
      <x:c r="C86" s="6" t="str">
        <x:v>Bug</x:v>
      </x:c>
      <x:c r="D86" s="6" t="str">
        <x:v>gnana sankar</x:v>
      </x:c>
      <x:c r="E86" s="6" t="str">
        <x:v>Done</x:v>
      </x:c>
      <x:c r="F86" s="7" t="str">
        <x:v>App, Dev, QA</x:v>
      </x:c>
      <x:c r="G86" s="12" t="str">
        <x:v>No</x:v>
      </x:c>
    </x:row>
    <x:row r="87">
      <x:c r="A87" s="11" t="str">
        <x:v>HA30-15121</x:v>
      </x:c>
      <x:c r="B87" s="7" t="str">
        <x:v>Dashboard – Activity Log – Last 14 Days Text and More Button Alignment Issue on Tablet</x:v>
      </x:c>
      <x:c r="C87" s="6" t="str">
        <x:v>Bug</x:v>
      </x:c>
      <x:c r="D87" s="6" t="str">
        <x:v>ajith</x:v>
      </x:c>
      <x:c r="E87" s="6" t="str">
        <x:v>Done</x:v>
      </x:c>
      <x:c r="F87" s="7" t="str">
        <x:v>App, Dev, QA</x:v>
      </x:c>
      <x:c r="G87" s="12" t="str">
        <x:v>No</x:v>
      </x:c>
    </x:row>
    <x:row r="88">
      <x:c r="A88" s="11" t="str">
        <x:v>HA30-15120</x:v>
      </x:c>
      <x:c r="B88" s="7" t="str">
        <x:v>Firebase Crash - TagsHelper._processTags FlutterError - RangeError (length): Invalid value: Not in inclusive range 0..15: 16</x:v>
      </x:c>
      <x:c r="C88" s="6" t="str">
        <x:v>Bug</x:v>
      </x:c>
      <x:c r="D88" s="6" t="str">
        <x:v>Abraham</x:v>
      </x:c>
      <x:c r="E88" s="6" t="str">
        <x:v>Done</x:v>
      </x:c>
      <x:c r="F88" s="7" t="str">
        <x:v>App, Dev, Firebase, QA</x:v>
      </x:c>
      <x:c r="G88" s="12" t="str">
        <x:v>No</x:v>
      </x:c>
    </x:row>
    <x:row r="89">
      <x:c r="A89" s="11" t="str">
        <x:v>HA30-15119</x:v>
      </x:c>
      <x:c r="B89" s="7" t="str">
        <x:v>Staging Release 5.0.152 (04) for IOS, Android and Web</x:v>
      </x:c>
      <x:c r="C89" s="6" t="str">
        <x:v>Task</x:v>
      </x:c>
      <x:c r="D89" s="6" t="str">
        <x:v>Abraham</x:v>
      </x:c>
      <x:c r="E89" s="6" t="str">
        <x:v>Done</x:v>
      </x:c>
      <x:c r="F89" s="7" t="str">
        <x:v>App, Deployment</x:v>
      </x:c>
      <x:c r="G89" s="12" t="str">
        <x:v>No</x:v>
      </x:c>
    </x:row>
    <x:row r="90">
      <x:c r="A90" s="11" t="str">
        <x:v>HA30-15118</x:v>
      </x:c>
      <x:c r="B90" s="7" t="str">
        <x:v>Production Hot Fix Release 1.1.284 (484) for IOS, Android and Web</x:v>
      </x:c>
      <x:c r="C90" s="6" t="str">
        <x:v>Task</x:v>
      </x:c>
      <x:c r="D90" s="6" t="str">
        <x:v>Abraham</x:v>
      </x:c>
      <x:c r="E90" s="6" t="str">
        <x:v>Done</x:v>
      </x:c>
      <x:c r="F90" s="7" t="str">
        <x:v>App, Deployment</x:v>
      </x:c>
      <x:c r="G90" s="12" t="str">
        <x:v>No</x:v>
      </x:c>
    </x:row>
    <x:row r="91">
      <x:c r="A91" s="11" t="str">
        <x:v>HA30-15117</x:v>
      </x:c>
      <x:c r="B91" s="7" t="str">
        <x:v>Activity Log - Chute session - Edit Existing animals</x:v>
      </x:c>
      <x:c r="C91" s="6" t="str">
        <x:v>Task</x:v>
      </x:c>
      <x:c r="D91" s="6" t="str">
        <x:v>Allwin. T</x:v>
      </x:c>
      <x:c r="E91" s="6" t="str">
        <x:v>Done</x:v>
      </x:c>
      <x:c r="F91" s="7" t="str">
        <x:v>ActivityLog, App, ChuteSession, Dev</x:v>
      </x:c>
      <x:c r="G91" s="12" t="str">
        <x:v>No</x:v>
      </x:c>
    </x:row>
    <x:row r="92">
      <x:c r="A92" s="11" t="str">
        <x:v>HA30-15115</x:v>
      </x:c>
      <x:c r="B92" s="7" t="str">
        <x:v>Fix Spanish Value Not Translated to English in Add to Inventory</x:v>
      </x:c>
      <x:c r="C92" s="6" t="str">
        <x:v>Task</x:v>
      </x:c>
      <x:c r="D92" s="6" t="str">
        <x:v>Gladys Kirubavathi</x:v>
      </x:c>
      <x:c r="E92" s="6" t="str">
        <x:v>Done</x:v>
      </x:c>
      <x:c r="F92" s="7" t="str">
        <x:v>App</x:v>
      </x:c>
      <x:c r="G92" s="12" t="str">
        <x:v>No</x:v>
      </x:c>
    </x:row>
    <x:row r="93">
      <x:c r="A93" s="11" t="str">
        <x:v>HA30-15114</x:v>
      </x:c>
      <x:c r="B93" s="7" t="str">
        <x:v>Implement HerdView SnapView Report in Flutter</x:v>
      </x:c>
      <x:c r="C93" s="6" t="str">
        <x:v>Story</x:v>
      </x:c>
      <x:c r="D93" s="6" t="str">
        <x:v>Muhundhan E</x:v>
      </x:c>
      <x:c r="E93" s="6" t="str">
        <x:v>New / Open</x:v>
      </x:c>
      <x:c r="F93" s="7" t="str">
        <x:v>App</x:v>
      </x:c>
      <x:c r="G93" s="12" t="str">
        <x:v>No</x:v>
      </x:c>
    </x:row>
    <x:row r="94">
      <x:c r="A94" s="11" t="str">
        <x:v>HA30-15113</x:v>
      </x:c>
      <x:c r="B94" s="7" t="str">
        <x:v>Run QA Automation Regression Suite on Staging build 5.0.152 (03)</x:v>
      </x:c>
      <x:c r="C94" s="6" t="str">
        <x:v>Task</x:v>
      </x:c>
      <x:c r="D94" s="6" t="str">
        <x:v>Mariappan E</x:v>
      </x:c>
      <x:c r="E94" s="6" t="str">
        <x:v>Done</x:v>
      </x:c>
      <x:c r="F94" s="7" t="str">
        <x:v>QAAutomation</x:v>
      </x:c>
      <x:c r="G94" s="12" t="str">
        <x:v>No</x:v>
      </x:c>
    </x:row>
    <x:row r="95">
      <x:c r="A95" s="11" t="str">
        <x:v>HA30-15112</x:v>
      </x:c>
      <x:c r="B95" s="7" t="str">
        <x:v>Treatment Loader Spins Continuously After Switching Tabs</x:v>
      </x:c>
      <x:c r="C95" s="6" t="str">
        <x:v>Bug</x:v>
      </x:c>
      <x:c r="D95" s="6" t="str">
        <x:v>gnana sankar</x:v>
      </x:c>
      <x:c r="E95" s="6" t="str">
        <x:v>Done</x:v>
      </x:c>
      <x:c r="F95" s="7" t="str">
        <x:v>App, Dev, Prod, QA</x:v>
      </x:c>
      <x:c r="G95" s="12" t="str">
        <x:v>Yes</x:v>
      </x:c>
    </x:row>
    <x:row r="96">
      <x:c r="A96" s="11" t="str">
        <x:v>HA30-15111</x:v>
      </x:c>
      <x:c r="B96" s="7" t="str">
        <x:v>Run QA Automation Regression Suite on Staging build 5.0.152 (02)</x:v>
      </x:c>
      <x:c r="C96" s="6" t="str">
        <x:v>Task</x:v>
      </x:c>
      <x:c r="D96" s="6" t="str">
        <x:v>Mariappan E</x:v>
      </x:c>
      <x:c r="E96" s="6" t="str">
        <x:v>Done</x:v>
      </x:c>
      <x:c r="F96" s="7" t="str">
        <x:v>QAAutomation</x:v>
      </x:c>
      <x:c r="G96" s="12" t="str">
        <x:v>No</x:v>
      </x:c>
    </x:row>
    <x:row r="97">
      <x:c r="A97" s="11" t="str">
        <x:v>HA30-15110</x:v>
      </x:c>
      <x:c r="B97" s="7" t="str">
        <x:v>Activity Log – Chute Session Activity Is Displayed When Searching with Non-Matching Text</x:v>
      </x:c>
      <x:c r="C97" s="6" t="str">
        <x:v>Bug</x:v>
      </x:c>
      <x:c r="D97" s="6" t="str">
        <x:v>ajith</x:v>
      </x:c>
      <x:c r="E97" s="6" t="str">
        <x:v>Done</x:v>
      </x:c>
      <x:c r="F97" s="7" t="str">
        <x:v>App, Dev, QA</x:v>
      </x:c>
      <x:c r="G97" s="12" t="str">
        <x:v>No</x:v>
      </x:c>
    </x:row>
    <x:row r="98">
      <x:c r="A98" s="11" t="str">
        <x:v>HA30-15109</x:v>
      </x:c>
      <x:c r="B98" s="7" t="str">
        <x:v>Dev Task - Implement HerdView SnapView Report in Flutter</x:v>
      </x:c>
      <x:c r="C98" s="6" t="str">
        <x:v>Task</x:v>
      </x:c>
      <x:c r="D98" s="6" t="str">
        <x:v>Muhundhan E</x:v>
      </x:c>
      <x:c r="E98" s="6" t="str">
        <x:v>Done</x:v>
      </x:c>
      <x:c r="F98" s="7" t="str">
        <x:v>App, Dev</x:v>
      </x:c>
      <x:c r="G98" s="12" t="str">
        <x:v>No</x:v>
      </x:c>
    </x:row>
    <x:row r="99">
      <x:c r="A99" s="11" t="str">
        <x:v>HA30-15108</x:v>
      </x:c>
      <x:c r="B99" s="7" t="str">
        <x:v>Activity Log Card Does Not Display Inventory Add or Edit any Activities</x:v>
      </x:c>
      <x:c r="C99" s="6" t="str">
        <x:v>Bug</x:v>
      </x:c>
      <x:c r="D99" s="6" t="str">
        <x:v>gangappan</x:v>
      </x:c>
      <x:c r="E99" s="6" t="str">
        <x:v>Discarded</x:v>
      </x:c>
      <x:c r="F99" s="7" t="str">
        <x:v>App, Dev, QA</x:v>
      </x:c>
      <x:c r="G99" s="12" t="str">
        <x:v>No</x:v>
      </x:c>
    </x:row>
    <x:row r="100">
      <x:c r="A100" s="11" t="str">
        <x:v>HA30-15107</x:v>
      </x:c>
      <x:c r="B100" s="7" t="str">
        <x:v>Staging Release 5.0.152 (03) for IOS, Android and Web</x:v>
      </x:c>
      <x:c r="C100" s="6" t="str">
        <x:v>Task</x:v>
      </x:c>
      <x:c r="D100" s="6" t="str">
        <x:v>Abraham</x:v>
      </x:c>
      <x:c r="E100" s="6" t="str">
        <x:v>Done</x:v>
      </x:c>
      <x:c r="F100" s="7" t="str">
        <x:v>App, Deployment</x:v>
      </x:c>
      <x:c r="G100" s="12" t="str">
        <x:v>No</x:v>
      </x:c>
    </x:row>
    <x:row r="101">
      <x:c r="A101" s="11" t="str">
        <x:v>HA30-15106</x:v>
      </x:c>
      <x:c r="B101" s="7" t="str">
        <x:v>Activity Log - Chute session - Add animals</x:v>
      </x:c>
      <x:c r="C101" s="6" t="str">
        <x:v>Task</x:v>
      </x:c>
      <x:c r="D101" s="6" t="str">
        <x:v>Allwin. T</x:v>
      </x:c>
      <x:c r="E101" s="6" t="str">
        <x:v>Done</x:v>
      </x:c>
      <x:c r="F101" s="7" t="str">
        <x:v>ActivityLog, App, ChuteSession, Dev</x:v>
      </x:c>
      <x:c r="G101" s="12" t="str">
        <x:v>No</x:v>
      </x:c>
    </x:row>
    <x:row r="102">
      <x:c r="A102" s="11" t="str">
        <x:v>HA30-15103</x:v>
      </x:c>
      <x:c r="B102" s="7" t="str">
        <x:v>Firebase Crash - Element.widget FlutterError - Null check operator used on a null value</x:v>
      </x:c>
      <x:c r="C102" s="6" t="str">
        <x:v>Bug</x:v>
      </x:c>
      <x:c r="D102" s="6" t="str">
        <x:v>Abraham</x:v>
      </x:c>
      <x:c r="E102" s="6" t="str">
        <x:v>Done</x:v>
      </x:c>
      <x:c r="F102" s="7" t="str">
        <x:v>App, Dev, Firebase, QA</x:v>
      </x:c>
      <x:c r="G102" s="12" t="str">
        <x:v>No</x:v>
      </x:c>
    </x:row>
    <x:row r="103">
      <x:c r="A103" s="11" t="str">
        <x:v>HA30-15102</x:v>
      </x:c>
      <x:c r="B103" s="7" t="str">
        <x:v>Firebase Crash  - Provider._inheritedElementOf FlutterError - Provider&lt;ScanTagsCubit&gt; not found for Builder. Error thrown while handling a gesture.</x:v>
      </x:c>
      <x:c r="C103" s="6" t="str">
        <x:v>Bug</x:v>
      </x:c>
      <x:c r="D103" s="6" t="str">
        <x:v>Abraham</x:v>
      </x:c>
      <x:c r="E103" s="6" t="str">
        <x:v>Done</x:v>
      </x:c>
      <x:c r="F103" s="7" t="str">
        <x:v>App, Dev, Firebase, QA</x:v>
      </x:c>
      <x:c r="G103" s="12" t="str">
        <x:v>No</x:v>
      </x:c>
    </x:row>
    <x:row r="104">
      <x:c r="A104" s="11" t="str">
        <x:v>HA30-15101</x:v>
      </x:c>
      <x:c r="B104" s="7" t="str">
        <x:v>Firebase Crash - View.of FlutterError - Null check operator used on a null value</x:v>
      </x:c>
      <x:c r="C104" s="6" t="str">
        <x:v>Bug</x:v>
      </x:c>
      <x:c r="D104" s="6" t="str">
        <x:v>Alpa Mori</x:v>
      </x:c>
      <x:c r="E104" s="6" t="str">
        <x:v>New / Open</x:v>
      </x:c>
      <x:c r="F104" s="7" t="str">
        <x:v>App, Dev, Firebase, QA</x:v>
      </x:c>
      <x:c r="G104" s="12" t="str">
        <x:v>No</x:v>
      </x:c>
    </x:row>
    <x:row r="105">
      <x:c r="A105" s="11" t="str">
        <x:v>HA30-15100</x:v>
      </x:c>
      <x:c r="B105" s="7" t="str">
        <x:v>PROD: Cedaco Ranch - Counting Session Export Issue</x:v>
      </x:c>
      <x:c r="C105" s="6" t="str">
        <x:v>Bug</x:v>
      </x:c>
      <x:c r="D105" s="6" t="str">
        <x:v>Candace Adams</x:v>
      </x:c>
      <x:c r="E105" s="6" t="str">
        <x:v>HerdX Accepted</x:v>
      </x:c>
      <x:c r="F105" s="7" t="str">
        <x:v>App, Dev, Prod, QA</x:v>
      </x:c>
      <x:c r="G105" s="12" t="str">
        <x:v>Yes</x:v>
      </x:c>
    </x:row>
    <x:row r="106">
      <x:c r="A106" s="11" t="str">
        <x:v>HA30-15098</x:v>
      </x:c>
      <x:c r="B106" s="7" t="str">
        <x:v>Medicine Inventory Dev Task - Other as an option in Treatment type</x:v>
      </x:c>
      <x:c r="C106" s="6" t="str">
        <x:v>Task</x:v>
      </x:c>
      <x:c r="D106" s="6" t="str">
        <x:v>Alpa Mori</x:v>
      </x:c>
      <x:c r="E106" s="6" t="str">
        <x:v>Done</x:v>
      </x:c>
      <x:c r="F106" s="7" t="str">
        <x:v>App, Dev</x:v>
      </x:c>
      <x:c r="G106" s="12" t="str">
        <x:v>No</x:v>
      </x:c>
    </x:row>
    <x:row r="107">
      <x:c r="A107" s="11" t="str">
        <x:v>HA30-15097</x:v>
      </x:c>
      <x:c r="B107" s="7" t="str">
        <x:v>Staging Release 5.0.152 (02) for IOS, Android and Web</x:v>
      </x:c>
      <x:c r="C107" s="6" t="str">
        <x:v>Task</x:v>
      </x:c>
      <x:c r="D107" s="6" t="str">
        <x:v>Abraham</x:v>
      </x:c>
      <x:c r="E107" s="6" t="str">
        <x:v>Done</x:v>
      </x:c>
      <x:c r="F107" s="7" t="str">
        <x:v>App, Deployment</x:v>
      </x:c>
      <x:c r="G107" s="12" t="str">
        <x:v>No</x:v>
      </x:c>
    </x:row>
    <x:row r="108">
      <x:c r="A108" s="11" t="str">
        <x:v>HA30-15096</x:v>
      </x:c>
      <x:c r="B108" s="7" t="str">
        <x:v>Activity Log - Search activities in Activity log screen</x:v>
      </x:c>
      <x:c r="C108" s="6" t="str">
        <x:v>Task</x:v>
      </x:c>
      <x:c r="D108" s="6" t="str">
        <x:v>Allwin. T</x:v>
      </x:c>
      <x:c r="E108" s="6" t="str">
        <x:v>Done</x:v>
      </x:c>
      <x:c r="F108" s="7" t="str"/>
      <x:c r="G108" s="12" t="str">
        <x:v>No</x:v>
      </x:c>
    </x:row>
    <x:row r="109">
      <x:c r="A109" s="11" t="str">
        <x:v>HA30-15095</x:v>
      </x:c>
      <x:c r="B109" s="7" t="str">
        <x:v>Firebase Crash - ProviderScope.containerOf</x:v>
      </x:c>
      <x:c r="C109" s="6" t="str">
        <x:v>Bug</x:v>
      </x:c>
      <x:c r="D109" s="6" t="str">
        <x:v>Abraham</x:v>
      </x:c>
      <x:c r="E109" s="6" t="str">
        <x:v>Done</x:v>
      </x:c>
      <x:c r="F109" s="7" t="str">
        <x:v>App, Dev, Firebase, QA</x:v>
      </x:c>
      <x:c r="G109" s="12" t="str">
        <x:v>No</x:v>
      </x:c>
    </x:row>
    <x:row r="110">
      <x:c r="A110" s="11" t="str">
        <x:v>HA30-15094</x:v>
      </x:c>
      <x:c r="B110" s="7" t="str">
        <x:v>Activity Log QA Task - Chute session - Animal Movement</x:v>
      </x:c>
      <x:c r="C110" s="6" t="str">
        <x:v>Task</x:v>
      </x:c>
      <x:c r="D110" s="6" t="str">
        <x:v>Raji S</x:v>
      </x:c>
      <x:c r="E110" s="6" t="str">
        <x:v>Done</x:v>
      </x:c>
      <x:c r="F110" s="7" t="str">
        <x:v>App, QA</x:v>
      </x:c>
      <x:c r="G110" s="12" t="str">
        <x:v>No</x:v>
      </x:c>
    </x:row>
    <x:row r="111">
      <x:c r="A111" s="11" t="str">
        <x:v>HA30-15093</x:v>
      </x:c>
      <x:c r="B111" s="7" t="str">
        <x:v>Activity Log - Chute Session QA Task - Front end development for activities and details for adding new animals</x:v>
      </x:c>
      <x:c r="C111" s="6" t="str">
        <x:v>Task</x:v>
      </x:c>
      <x:c r="D111" s="6" t="str">
        <x:v>Raji S</x:v>
      </x:c>
      <x:c r="E111" s="6" t="str">
        <x:v>Done</x:v>
      </x:c>
      <x:c r="F111" s="7" t="str">
        <x:v>App, QA</x:v>
      </x:c>
      <x:c r="G111" s="12" t="str">
        <x:v>No</x:v>
      </x:c>
    </x:row>
    <x:row r="112">
      <x:c r="A112" s="11" t="str">
        <x:v>HA30-15091</x:v>
      </x:c>
      <x:c r="B112" s="7" t="str">
        <x:v>Activity Log QA Task - Chute session - Add animals</x:v>
      </x:c>
      <x:c r="C112" s="6" t="str">
        <x:v>Task</x:v>
      </x:c>
      <x:c r="D112" s="6" t="str">
        <x:v>Raji S</x:v>
      </x:c>
      <x:c r="E112" s="6" t="str">
        <x:v>Done</x:v>
      </x:c>
      <x:c r="F112" s="7" t="str">
        <x:v>App, QA</x:v>
      </x:c>
      <x:c r="G112" s="12" t="str">
        <x:v>No</x:v>
      </x:c>
    </x:row>
    <x:row r="113">
      <x:c r="A113" s="11" t="str">
        <x:v>HA30-15090</x:v>
      </x:c>
      <x:c r="B113" s="7" t="str">
        <x:v>Activity Log QA Task- Chute session - Edit Existing animals</x:v>
      </x:c>
      <x:c r="C113" s="6" t="str">
        <x:v>Task</x:v>
      </x:c>
      <x:c r="D113" s="6" t="str">
        <x:v>Raji S</x:v>
      </x:c>
      <x:c r="E113" s="6" t="str">
        <x:v>Done</x:v>
      </x:c>
      <x:c r="F113" s="7" t="str">
        <x:v>App, QA</x:v>
      </x:c>
      <x:c r="G113" s="12" t="str">
        <x:v>No</x:v>
      </x:c>
    </x:row>
    <x:row r="114">
      <x:c r="A114" s="11" t="str">
        <x:v>HA30-15089</x:v>
      </x:c>
      <x:c r="B114" s="7" t="str">
        <x:v>Activity Log QA Task - Chute session - Weight update</x:v>
      </x:c>
      <x:c r="C114" s="6" t="str">
        <x:v>Task</x:v>
      </x:c>
      <x:c r="D114" s="6" t="str">
        <x:v>Raji S</x:v>
      </x:c>
      <x:c r="E114" s="6" t="str">
        <x:v>Done</x:v>
      </x:c>
      <x:c r="F114" s="7" t="str">
        <x:v>App, QA</x:v>
      </x:c>
      <x:c r="G114" s="12" t="str">
        <x:v>No</x:v>
      </x:c>
    </x:row>
    <x:row r="115">
      <x:c r="A115" s="11" t="str">
        <x:v>HA30-15088</x:v>
      </x:c>
      <x:c r="B115" s="7" t="str">
        <x:v>Activity Log QA Task- Upload Excel - Add weight history</x:v>
      </x:c>
      <x:c r="C115" s="6" t="str">
        <x:v>Task</x:v>
      </x:c>
      <x:c r="D115" s="6" t="str">
        <x:v>ajith</x:v>
      </x:c>
      <x:c r="E115" s="6" t="str">
        <x:v>Done</x:v>
      </x:c>
      <x:c r="F115" s="7" t="str">
        <x:v>App, QA</x:v>
      </x:c>
      <x:c r="G115" s="12" t="str">
        <x:v>No</x:v>
      </x:c>
    </x:row>
    <x:row r="116">
      <x:c r="A116" s="11" t="str">
        <x:v>HA30-15087</x:v>
      </x:c>
      <x:c r="B116" s="7" t="str">
        <x:v>Activity Log QA Task- Upload Excel - Add new animal</x:v>
      </x:c>
      <x:c r="C116" s="6" t="str">
        <x:v>Task</x:v>
      </x:c>
      <x:c r="D116" s="6" t="str">
        <x:v>ajith</x:v>
      </x:c>
      <x:c r="E116" s="6" t="str">
        <x:v>Done</x:v>
      </x:c>
      <x:c r="F116" s="7" t="str">
        <x:v>App, QA</x:v>
      </x:c>
      <x:c r="G116" s="12" t="str">
        <x:v>No</x:v>
      </x:c>
    </x:row>
    <x:row r="117">
      <x:c r="A117" s="11" t="str">
        <x:v>HA30-15086</x:v>
      </x:c>
      <x:c r="B117" s="7" t="str">
        <x:v>Activity Log QA Task- Upload Excel - Update animal info</x:v>
      </x:c>
      <x:c r="C117" s="6" t="str">
        <x:v>Task</x:v>
      </x:c>
      <x:c r="D117" s="6" t="str">
        <x:v>ajith</x:v>
      </x:c>
      <x:c r="E117" s="6" t="str">
        <x:v>Done</x:v>
      </x:c>
      <x:c r="F117" s="7" t="str">
        <x:v>App, QA</x:v>
      </x:c>
      <x:c r="G117" s="12" t="str">
        <x:v>No</x:v>
      </x:c>
    </x:row>
    <x:row r="118">
      <x:c r="A118" s="11" t="str">
        <x:v>HA30-15085</x:v>
      </x:c>
      <x:c r="B118" s="7" t="str">
        <x:v>Activity Log QA Task- Add Animal Movement to Animal History</x:v>
      </x:c>
      <x:c r="C118" s="6" t="str">
        <x:v>Task</x:v>
      </x:c>
      <x:c r="D118" s="6" t="str">
        <x:v>gnana sankar</x:v>
      </x:c>
      <x:c r="E118" s="6" t="str">
        <x:v>Done</x:v>
      </x:c>
      <x:c r="F118" s="7" t="str">
        <x:v>App, QA</x:v>
      </x:c>
      <x:c r="G118" s="12" t="str">
        <x:v>No</x:v>
      </x:c>
    </x:row>
    <x:row r="119">
      <x:c r="A119" s="11" t="str">
        <x:v>HA30-15084</x:v>
      </x:c>
      <x:c r="B119" s="7" t="str">
        <x:v>Activity Log QA Task - Upload Excel - Add Beef programs</x:v>
      </x:c>
      <x:c r="C119" s="6" t="str">
        <x:v>Task</x:v>
      </x:c>
      <x:c r="D119" s="6" t="str">
        <x:v>ajith</x:v>
      </x:c>
      <x:c r="E119" s="6" t="str">
        <x:v>Done</x:v>
      </x:c>
      <x:c r="F119" s="7" t="str">
        <x:v>App, QA</x:v>
      </x:c>
      <x:c r="G119" s="12" t="str">
        <x:v>No</x:v>
      </x:c>
    </x:row>
    <x:row r="120">
      <x:c r="A120" s="11" t="str">
        <x:v>HA30-15083</x:v>
      </x:c>
      <x:c r="B120" s="7" t="str">
        <x:v>Activity Log QA Task - Search activities in Activity log screen</x:v>
      </x:c>
      <x:c r="C120" s="6" t="str">
        <x:v>Task</x:v>
      </x:c>
      <x:c r="D120" s="6" t="str">
        <x:v>ajith</x:v>
      </x:c>
      <x:c r="E120" s="6" t="str">
        <x:v>Done</x:v>
      </x:c>
      <x:c r="F120" s="7" t="str">
        <x:v>App, QA</x:v>
      </x:c>
      <x:c r="G120" s="12" t="str">
        <x:v>No</x:v>
      </x:c>
    </x:row>
    <x:row r="121">
      <x:c r="A121" s="11" t="str">
        <x:v>HA30-15082</x:v>
      </x:c>
      <x:c r="B121" s="7" t="str">
        <x:v>QA Task - Display full tag ID for UHF in scan pages (ATI &amp; Select multiple)</x:v>
      </x:c>
      <x:c r="C121" s="6" t="str">
        <x:v>Task</x:v>
      </x:c>
      <x:c r="D121" s="6" t="str">
        <x:v>Abraham</x:v>
      </x:c>
      <x:c r="E121" s="6" t="str">
        <x:v>Done</x:v>
      </x:c>
      <x:c r="F121" s="7" t="str">
        <x:v>App, QA</x:v>
      </x:c>
      <x:c r="G121" s="12" t="str">
        <x:v>No</x:v>
      </x:c>
    </x:row>
    <x:row r="122">
      <x:c r="A122" s="11" t="str">
        <x:v>HA30-15081</x:v>
      </x:c>
      <x:c r="B122" s="7" t="str">
        <x:v>Activity log QA Task - Implement total activities KPI functionality</x:v>
      </x:c>
      <x:c r="C122" s="6" t="str">
        <x:v>Task</x:v>
      </x:c>
      <x:c r="D122" s="6" t="str">
        <x:v>gnana sankar</x:v>
      </x:c>
      <x:c r="E122" s="6" t="str">
        <x:v>Done</x:v>
      </x:c>
      <x:c r="F122" s="7" t="str">
        <x:v>App, QA</x:v>
      </x:c>
      <x:c r="G122" s="12" t="str">
        <x:v>No</x:v>
      </x:c>
    </x:row>
    <x:row r="123">
      <x:c r="A123" s="11" t="str">
        <x:v>HA30-15080</x:v>
      </x:c>
      <x:c r="B123" s="7" t="str">
        <x:v>Counting Session QA Task- Performance analysis for storing session data in Reader sessions</x:v>
      </x:c>
      <x:c r="C123" s="6" t="str">
        <x:v>Task</x:v>
      </x:c>
      <x:c r="D123" s="6" t="str">
        <x:v>Abraham</x:v>
      </x:c>
      <x:c r="E123" s="6" t="str">
        <x:v>Done</x:v>
      </x:c>
      <x:c r="F123" s="7" t="str">
        <x:v>App, QA</x:v>
      </x:c>
      <x:c r="G123" s="12" t="str">
        <x:v>No</x:v>
      </x:c>
    </x:row>
    <x:row r="124">
      <x:c r="A124" s="11" t="str">
        <x:v>HA30-15079</x:v>
      </x:c>
      <x:c r="B124" s="7" t="str">
        <x:v>QA Task - Present Animal History Instead of Enclosure Movement History</x:v>
      </x:c>
      <x:c r="C124" s="6" t="str">
        <x:v>Task</x:v>
      </x:c>
      <x:c r="D124" s="6" t="str">
        <x:v>gnana sankar</x:v>
      </x:c>
      <x:c r="E124" s="6" t="str">
        <x:v>In Progress</x:v>
      </x:c>
      <x:c r="F124" s="7" t="str">
        <x:v>App, QA</x:v>
      </x:c>
      <x:c r="G124" s="12" t="str">
        <x:v>No</x:v>
      </x:c>
    </x:row>
    <x:row r="125">
      <x:c r="A125" s="11" t="str">
        <x:v>HA30-15078</x:v>
      </x:c>
      <x:c r="B125" s="7" t="str">
        <x:v>Medicine Inventory QA Task - Other as an option in Treatment type</x:v>
      </x:c>
      <x:c r="C125" s="6" t="str">
        <x:v>Task</x:v>
      </x:c>
      <x:c r="D125" s="6" t="str">
        <x:v>Abraham</x:v>
      </x:c>
      <x:c r="E125" s="6" t="str">
        <x:v>Done</x:v>
      </x:c>
      <x:c r="F125" s="7" t="str">
        <x:v>App, QA</x:v>
      </x:c>
      <x:c r="G125" s="12" t="str">
        <x:v>No</x:v>
      </x:c>
    </x:row>
    <x:row r="126">
      <x:c r="A126" s="11" t="str">
        <x:v>HA30-15077</x:v>
      </x:c>
      <x:c r="B126" s="7" t="str">
        <x:v>Visual Tag QA Task - Display Full Visual tag in Health, treatments, Breeding &amp; Parentage screens</x:v>
      </x:c>
      <x:c r="C126" s="6" t="str">
        <x:v>Task</x:v>
      </x:c>
      <x:c r="D126" s="6" t="str">
        <x:v>Abraham</x:v>
      </x:c>
      <x:c r="E126" s="6" t="str">
        <x:v>Done</x:v>
      </x:c>
      <x:c r="F126" s="7" t="str">
        <x:v>App, QA</x:v>
      </x:c>
      <x:c r="G126" s="12" t="str">
        <x:v>No</x:v>
      </x:c>
    </x:row>
    <x:row r="127">
      <x:c r="A127" s="11" t="str">
        <x:v>HA30-15076</x:v>
      </x:c>
      <x:c r="B127" s="7" t="str">
        <x:v>Medicine Inventory QA Task – Available Quantity and Restock Option for “Do Not Track Stock” Medicines</x:v>
      </x:c>
      <x:c r="C127" s="6" t="str">
        <x:v>Task</x:v>
      </x:c>
      <x:c r="D127" s="6" t="str">
        <x:v>gnana sankar</x:v>
      </x:c>
      <x:c r="E127" s="6" t="str">
        <x:v>In Progress</x:v>
      </x:c>
      <x:c r="F127" s="7" t="str">
        <x:v>App, QA</x:v>
      </x:c>
      <x:c r="G127" s="12" t="str">
        <x:v>No</x:v>
      </x:c>
    </x:row>
    <x:row r="128">
      <x:c r="A128" s="11" t="str">
        <x:v>HA30-15075</x:v>
      </x:c>
      <x:c r="B128" s="7" t="str">
        <x:v>QA Task - Counting session - Add Counting session ID in Reader sessions</x:v>
      </x:c>
      <x:c r="C128" s="6" t="str">
        <x:v>Task</x:v>
      </x:c>
      <x:c r="D128" s="6" t="str">
        <x:v>Abraham</x:v>
      </x:c>
      <x:c r="E128" s="6" t="str">
        <x:v>Done</x:v>
      </x:c>
      <x:c r="F128" s="7" t="str">
        <x:v>App, QA</x:v>
      </x:c>
      <x:c r="G128" s="12" t="str">
        <x:v>No</x:v>
      </x:c>
    </x:row>
    <x:row r="129">
      <x:c r="A129" s="11" t="str">
        <x:v>HA30-15074</x:v>
      </x:c>
      <x:c r="B129" s="7" t="str">
        <x:v>Staging Release 5.0.152 (01) for IOS, Android and Web</x:v>
      </x:c>
      <x:c r="C129" s="6" t="str">
        <x:v>Task</x:v>
      </x:c>
      <x:c r="D129" s="6" t="str">
        <x:v>Abraham</x:v>
      </x:c>
      <x:c r="E129" s="6" t="str">
        <x:v>Done</x:v>
      </x:c>
      <x:c r="F129" s="7" t="str">
        <x:v>App, Deployment</x:v>
      </x:c>
      <x:c r="G129" s="12" t="str">
        <x:v>No</x:v>
      </x:c>
    </x:row>
    <x:row r="130">
      <x:c r="A130" s="11" t="str">
        <x:v>HA30-15073</x:v>
      </x:c>
      <x:c r="B130" s="7" t="str">
        <x:v>Deployment for Sprint 101</x:v>
      </x:c>
      <x:c r="C130" s="6" t="str">
        <x:v>Story</x:v>
      </x:c>
      <x:c r="D130" s="6" t="str">
        <x:v>Abraham</x:v>
      </x:c>
      <x:c r="E130" s="6" t="str">
        <x:v>New / Open</x:v>
      </x:c>
      <x:c r="F130" s="7" t="str">
        <x:v>App, Deployment</x:v>
      </x:c>
      <x:c r="G130" s="12" t="str">
        <x:v>No</x:v>
      </x:c>
    </x:row>
    <x:row r="131">
      <x:c r="A131" s="11" t="str">
        <x:v>HA30-15072</x:v>
      </x:c>
      <x:c r="B131" s="7" t="str">
        <x:v>Prod Issue - ATI R6 – Tag Counts Are Not Displayed in Preexisting Tags and Not Assigned to This Org Sections After Returning to Session Summary</x:v>
      </x:c>
      <x:c r="C131" s="6" t="str">
        <x:v>Bug</x:v>
      </x:c>
      <x:c r="D131" s="6" t="str">
        <x:v>ajith</x:v>
      </x:c>
      <x:c r="E131" s="6" t="str">
        <x:v>Done</x:v>
      </x:c>
      <x:c r="F131" s="7" t="str">
        <x:v>App, Dev, Prod, QA</x:v>
      </x:c>
      <x:c r="G131" s="12" t="str">
        <x:v>Yes</x:v>
      </x:c>
    </x:row>
    <x:row r="132">
      <x:c r="A132" s="11" t="str">
        <x:v>HA30-15071</x:v>
      </x:c>
      <x:c r="B132" s="7" t="str">
        <x:v>Prod - ATI - Spanish - Added Animal sex type save in Spanish in Firebase DB</x:v>
      </x:c>
      <x:c r="C132" s="6" t="str">
        <x:v>Bug</x:v>
      </x:c>
      <x:c r="D132" s="6" t="str">
        <x:v>Abraham</x:v>
      </x:c>
      <x:c r="E132" s="6" t="str">
        <x:v>Done</x:v>
      </x:c>
      <x:c r="F132" s="7" t="str">
        <x:v>App, Dev, Prod, QA, Regression</x:v>
      </x:c>
      <x:c r="G132" s="12" t="str">
        <x:v>Yes</x:v>
      </x:c>
    </x:row>
    <x:row r="133">
      <x:c r="A133" s="11" t="str">
        <x:v>HA30-15070</x:v>
      </x:c>
      <x:c r="B133" s="7" t="str">
        <x:v>Prod - Not able to create location to location Transfer</x:v>
      </x:c>
      <x:c r="C133" s="6" t="str">
        <x:v>Bug</x:v>
      </x:c>
      <x:c r="D133" s="6" t="str">
        <x:v>Abraham</x:v>
      </x:c>
      <x:c r="E133" s="6" t="str">
        <x:v>Cannot Reproduce</x:v>
      </x:c>
      <x:c r="F133" s="7" t="str">
        <x:v>App, Dev, Prod, QA, Regression</x:v>
      </x:c>
      <x:c r="G133" s="12" t="str">
        <x:v>Yes</x:v>
      </x:c>
    </x:row>
    <x:row r="134">
      <x:c r="A134" s="11" t="str">
        <x:v>HA30-15069</x:v>
      </x:c>
      <x:c r="B134" s="7" t="str">
        <x:v>Prod Issue - Select All and Unselect Actions Not Working in Select Multiple Flow</x:v>
      </x:c>
      <x:c r="C134" s="6" t="str">
        <x:v>Bug</x:v>
      </x:c>
      <x:c r="D134" s="6" t="str">
        <x:v>gnana sankar</x:v>
      </x:c>
      <x:c r="E134" s="6" t="str">
        <x:v>Done</x:v>
      </x:c>
      <x:c r="F134" s="7" t="str">
        <x:v>App, Dev, Prod, QA</x:v>
      </x:c>
      <x:c r="G134" s="12" t="str">
        <x:v>Yes</x:v>
      </x:c>
    </x:row>
    <x:row r="135">
      <x:c r="A135" s="11" t="str">
        <x:v>HA30-15067</x:v>
      </x:c>
      <x:c r="B135" s="7" t="str">
        <x:v>Activity Log Dev Task - Upload Excel - Add Beef programs</x:v>
      </x:c>
      <x:c r="C135" s="6" t="str">
        <x:v>Task</x:v>
      </x:c>
      <x:c r="D135" s="6" t="str">
        <x:v>Alpa Mori</x:v>
      </x:c>
      <x:c r="E135" s="6" t="str">
        <x:v>Done</x:v>
      </x:c>
      <x:c r="F135" s="7" t="str">
        <x:v>App, Dev</x:v>
      </x:c>
      <x:c r="G135" s="12" t="str">
        <x:v>No</x:v>
      </x:c>
    </x:row>
    <x:row r="136">
      <x:c r="A136" s="11" t="str">
        <x:v>HA30-15065</x:v>
      </x:c>
      <x:c r="B136" s="7" t="str">
        <x:v>Activity Log Dev Task - Add Animal Movement to Animal History</x:v>
      </x:c>
      <x:c r="C136" s="6" t="str">
        <x:v>Task</x:v>
      </x:c>
      <x:c r="D136" s="6" t="str">
        <x:v>Alpa Mori</x:v>
      </x:c>
      <x:c r="E136" s="6" t="str">
        <x:v>Done</x:v>
      </x:c>
      <x:c r="F136" s="7" t="str">
        <x:v>App, Dev</x:v>
      </x:c>
      <x:c r="G136" s="12" t="str">
        <x:v>No</x:v>
      </x:c>
    </x:row>
    <x:row r="137">
      <x:c r="A137" s="11" t="str">
        <x:v>HA30-15063</x:v>
      </x:c>
      <x:c r="B137" s="7" t="str">
        <x:v>Activity Log Dev Task - Upload Excel - Add weight history</x:v>
      </x:c>
      <x:c r="C137" s="6" t="str">
        <x:v>Task</x:v>
      </x:c>
      <x:c r="D137" s="6" t="str">
        <x:v>Alpa Mori</x:v>
      </x:c>
      <x:c r="E137" s="6" t="str">
        <x:v>Done</x:v>
      </x:c>
      <x:c r="F137" s="7" t="str">
        <x:v>App, Dev</x:v>
      </x:c>
      <x:c r="G137" s="12" t="str">
        <x:v>No</x:v>
      </x:c>
    </x:row>
    <x:row r="138">
      <x:c r="A138" s="11" t="str">
        <x:v>HA30-15061</x:v>
      </x:c>
      <x:c r="B138" s="7" t="str">
        <x:v>Activity Log Dev Task - Upload Excel - Update animal info</x:v>
      </x:c>
      <x:c r="C138" s="6" t="str">
        <x:v>Task</x:v>
      </x:c>
      <x:c r="D138" s="6" t="str">
        <x:v>Alpa Mori</x:v>
      </x:c>
      <x:c r="E138" s="6" t="str">
        <x:v>Done</x:v>
      </x:c>
      <x:c r="F138" s="7" t="str">
        <x:v>App, Dev</x:v>
      </x:c>
      <x:c r="G138" s="12" t="str">
        <x:v>No</x:v>
      </x:c>
    </x:row>
    <x:row r="139">
      <x:c r="A139" s="11" t="str">
        <x:v>HA30-15059</x:v>
      </x:c>
      <x:c r="B139" s="7" t="str">
        <x:v>Activity Log Dev Task - Upload Excel - Add new animal</x:v>
      </x:c>
      <x:c r="C139" s="6" t="str">
        <x:v>Task</x:v>
      </x:c>
      <x:c r="D139" s="6" t="str">
        <x:v>Alpa Mori</x:v>
      </x:c>
      <x:c r="E139" s="6" t="str">
        <x:v>Done</x:v>
      </x:c>
      <x:c r="F139" s="7" t="str">
        <x:v>App, Dev</x:v>
      </x:c>
      <x:c r="G139" s="12" t="str">
        <x:v>No</x:v>
      </x:c>
    </x:row>
    <x:row r="140">
      <x:c r="A140" s="11" t="str">
        <x:v>HA30-15057</x:v>
      </x:c>
      <x:c r="B140" s="7" t="str">
        <x:v>Activity Log Dev Task - Common function for Upload Excel</x:v>
      </x:c>
      <x:c r="C140" s="6" t="str">
        <x:v>Task</x:v>
      </x:c>
      <x:c r="D140" s="6" t="str">
        <x:v>Alpa Mori</x:v>
      </x:c>
      <x:c r="E140" s="6" t="str">
        <x:v>Done</x:v>
      </x:c>
      <x:c r="F140" s="7" t="str">
        <x:v>App, Dev</x:v>
      </x:c>
      <x:c r="G140" s="12" t="str">
        <x:v>No</x:v>
      </x:c>
    </x:row>
    <x:row r="141">
      <x:c r="A141" s="11" t="str">
        <x:v>HA30-15056</x:v>
      </x:c>
      <x:c r="B141" s="7" t="str">
        <x:v>Activity Log - Chute session - Weight update</x:v>
      </x:c>
      <x:c r="C141" s="6" t="str">
        <x:v>Story</x:v>
      </x:c>
      <x:c r="D141" s="6" t="str">
        <x:v>Praveen Francis</x:v>
      </x:c>
      <x:c r="E141" s="6" t="str">
        <x:v>In Progress</x:v>
      </x:c>
      <x:c r="F141" s="7" t="str"/>
      <x:c r="G141" s="12" t="str">
        <x:v>No</x:v>
      </x:c>
    </x:row>
    <x:row r="142">
      <x:c r="A142" s="11" t="str">
        <x:v>HA30-15055</x:v>
      </x:c>
      <x:c r="B142" s="7" t="str">
        <x:v>Activity Log - Chute session - Animal Movement</x:v>
      </x:c>
      <x:c r="C142" s="6" t="str">
        <x:v>Story</x:v>
      </x:c>
      <x:c r="D142" s="6" t="str">
        <x:v>Praveen Francis</x:v>
      </x:c>
      <x:c r="E142" s="6" t="str">
        <x:v>In Progress</x:v>
      </x:c>
      <x:c r="F142" s="7" t="str"/>
      <x:c r="G142" s="12" t="str">
        <x:v>No</x:v>
      </x:c>
    </x:row>
    <x:row r="143">
      <x:c r="A143" s="11" t="str">
        <x:v>HA30-15054</x:v>
      </x:c>
      <x:c r="B143" s="7" t="str">
        <x:v>Run QA Automation Regression Suite on Production build 1.1.283 (483)</x:v>
      </x:c>
      <x:c r="C143" s="6" t="str">
        <x:v>Task</x:v>
      </x:c>
      <x:c r="D143" s="6" t="str">
        <x:v>Mariappan E</x:v>
      </x:c>
      <x:c r="E143" s="6" t="str">
        <x:v>Done</x:v>
      </x:c>
      <x:c r="F143" s="7" t="str">
        <x:v>QAAutomation</x:v>
      </x:c>
      <x:c r="G143" s="12" t="str">
        <x:v>No</x:v>
      </x:c>
    </x:row>
    <x:row r="144">
      <x:c r="A144" s="11" t="str">
        <x:v>HA30-15053</x:v>
      </x:c>
      <x:c r="B144" s="7" t="str">
        <x:v>Activity Log - Chute session - Edit Existing animals</x:v>
      </x:c>
      <x:c r="C144" s="6" t="str">
        <x:v>Story</x:v>
      </x:c>
      <x:c r="D144" s="6" t="str">
        <x:v>Praveen Francis</x:v>
      </x:c>
      <x:c r="E144" s="6" t="str">
        <x:v>HerdX Accepted</x:v>
      </x:c>
      <x:c r="F144" s="7" t="str">
        <x:v>App</x:v>
      </x:c>
      <x:c r="G144" s="12" t="str">
        <x:v>No</x:v>
      </x:c>
    </x:row>
    <x:row r="145">
      <x:c r="A145" s="11" t="str">
        <x:v>HA30-15052</x:v>
      </x:c>
      <x:c r="B145" s="7" t="str">
        <x:v>Activity Log - Chute Session - Front end development for activities and details for adding new animals</x:v>
      </x:c>
      <x:c r="C145" s="6" t="str">
        <x:v>Story</x:v>
      </x:c>
      <x:c r="D145" s="6" t="str">
        <x:v>Praveen Francis</x:v>
      </x:c>
      <x:c r="E145" s="6" t="str">
        <x:v>In Progress</x:v>
      </x:c>
      <x:c r="F145" s="7" t="str">
        <x:v>App</x:v>
      </x:c>
      <x:c r="G145" s="12" t="str">
        <x:v>No</x:v>
      </x:c>
    </x:row>
    <x:row r="146">
      <x:c r="A146" s="11" t="str">
        <x:v>HA30-15051</x:v>
      </x:c>
      <x:c r="B146" s="7" t="str">
        <x:v>Activity Log - Chute session - Add animals</x:v>
      </x:c>
      <x:c r="C146" s="6" t="str">
        <x:v>Story</x:v>
      </x:c>
      <x:c r="D146" s="6" t="str">
        <x:v>Praveen Francis</x:v>
      </x:c>
      <x:c r="E146" s="6" t="str">
        <x:v>HerdX Accepted</x:v>
      </x:c>
      <x:c r="F146" s="7" t="str">
        <x:v>App</x:v>
      </x:c>
      <x:c r="G146" s="12" t="str">
        <x:v>No</x:v>
      </x:c>
    </x:row>
    <x:row r="147">
      <x:c r="A147" s="11" t="str">
        <x:v>HA30-15050</x:v>
      </x:c>
      <x:c r="B147" s="7" t="str">
        <x:v>Activity log - Implement total activities KPI functionality</x:v>
      </x:c>
      <x:c r="C147" s="6" t="str">
        <x:v>Task</x:v>
      </x:c>
      <x:c r="D147" s="6" t="str">
        <x:v>Allwin. T</x:v>
      </x:c>
      <x:c r="E147" s="6" t="str">
        <x:v>Done</x:v>
      </x:c>
      <x:c r="F147" s="7" t="str">
        <x:v>ActivityLog, App, ChuteSession, Dev</x:v>
      </x:c>
      <x:c r="G147" s="12" t="str">
        <x:v>No</x:v>
      </x:c>
    </x:row>
    <x:row r="148">
      <x:c r="A148" s="11" t="str">
        <x:v>HA30-15049</x:v>
      </x:c>
      <x:c r="B148" s="7" t="str">
        <x:v>Activity Log - Search activities in Activity log screen</x:v>
      </x:c>
      <x:c r="C148" s="6" t="str">
        <x:v>Story</x:v>
      </x:c>
      <x:c r="D148" s="6" t="str">
        <x:v>Praveen Francis</x:v>
      </x:c>
      <x:c r="E148" s="6" t="str">
        <x:v>In Progress</x:v>
      </x:c>
      <x:c r="F148" s="7" t="str">
        <x:v>App</x:v>
      </x:c>
      <x:c r="G148" s="12" t="str">
        <x:v>No</x:v>
      </x:c>
    </x:row>
    <x:row r="149">
      <x:c r="A149" s="11" t="str">
        <x:v>HA30-15047</x:v>
      </x:c>
      <x:c r="B149" s="7" t="str">
        <x:v>Activity Log - Upload Excel - Add Beef programs</x:v>
      </x:c>
      <x:c r="C149" s="6" t="str">
        <x:v>Story</x:v>
      </x:c>
      <x:c r="D149" s="6" t="str">
        <x:v>Praveen Francis</x:v>
      </x:c>
      <x:c r="E149" s="6" t="str">
        <x:v>In Progress</x:v>
      </x:c>
      <x:c r="F149" s="7" t="str">
        <x:v>App</x:v>
      </x:c>
      <x:c r="G149" s="12" t="str">
        <x:v>No</x:v>
      </x:c>
    </x:row>
    <x:row r="150">
      <x:c r="A150" s="11" t="str">
        <x:v>HA30-15045</x:v>
      </x:c>
      <x:c r="B150" s="7" t="str">
        <x:v>Activity Log - Upload Excel - Add Animal Movement to Animal History</x:v>
      </x:c>
      <x:c r="C150" s="6" t="str">
        <x:v>Story</x:v>
      </x:c>
      <x:c r="D150" s="6" t="str">
        <x:v>Praveen Francis</x:v>
      </x:c>
      <x:c r="E150" s="6" t="str">
        <x:v>In Progress</x:v>
      </x:c>
      <x:c r="F150" s="7" t="str">
        <x:v>App</x:v>
      </x:c>
      <x:c r="G150" s="12" t="str">
        <x:v>No</x:v>
      </x:c>
    </x:row>
    <x:row r="151">
      <x:c r="A151" s="11" t="str">
        <x:v>HA30-15044</x:v>
      </x:c>
      <x:c r="B151" s="7" t="str">
        <x:v>Activity Log - Upload Excel - Add weight history</x:v>
      </x:c>
      <x:c r="C151" s="6" t="str">
        <x:v>Story</x:v>
      </x:c>
      <x:c r="D151" s="6" t="str">
        <x:v>Praveen Francis</x:v>
      </x:c>
      <x:c r="E151" s="6" t="str">
        <x:v>In Progress</x:v>
      </x:c>
      <x:c r="F151" s="7" t="str">
        <x:v>App</x:v>
      </x:c>
      <x:c r="G151" s="12" t="str">
        <x:v>No</x:v>
      </x:c>
    </x:row>
    <x:row r="152">
      <x:c r="A152" s="11" t="str">
        <x:v>HA30-15043</x:v>
      </x:c>
      <x:c r="B152" s="7" t="str">
        <x:v>Activity Log - Upload Excel - Update animal info</x:v>
      </x:c>
      <x:c r="C152" s="6" t="str">
        <x:v>Story</x:v>
      </x:c>
      <x:c r="D152" s="6" t="str">
        <x:v>Praveen Francis</x:v>
      </x:c>
      <x:c r="E152" s="6" t="str">
        <x:v>In Progress</x:v>
      </x:c>
      <x:c r="F152" s="7" t="str">
        <x:v>App</x:v>
      </x:c>
      <x:c r="G152" s="12" t="str">
        <x:v>No</x:v>
      </x:c>
    </x:row>
    <x:row r="153">
      <x:c r="A153" s="11" t="str">
        <x:v>HA30-15042</x:v>
      </x:c>
      <x:c r="B153" s="7" t="str">
        <x:v>UI Issue on Add Dose Details Page</x:v>
      </x:c>
      <x:c r="C153" s="6" t="str">
        <x:v>Bug</x:v>
      </x:c>
      <x:c r="D153" s="6" t="str">
        <x:v>Raji S</x:v>
      </x:c>
      <x:c r="E153" s="6" t="str">
        <x:v>Done</x:v>
      </x:c>
      <x:c r="F153" s="7" t="str">
        <x:v>App, Dev, QA</x:v>
      </x:c>
      <x:c r="G153" s="12" t="str">
        <x:v>No</x:v>
      </x:c>
    </x:row>
    <x:row r="154">
      <x:c r="A154" s="11" t="str">
        <x:v>HA30-15041</x:v>
      </x:c>
      <x:c r="B154" s="7" t="str">
        <x:v>Activity Log - Upload Excel - Add new animal</x:v>
      </x:c>
      <x:c r="C154" s="6" t="str">
        <x:v>Story</x:v>
      </x:c>
      <x:c r="D154" s="6" t="str">
        <x:v>Praveen Francis</x:v>
      </x:c>
      <x:c r="E154" s="6" t="str">
        <x:v>In Progress</x:v>
      </x:c>
      <x:c r="F154" s="7" t="str">
        <x:v>App</x:v>
      </x:c>
      <x:c r="G154" s="12" t="str">
        <x:v>No</x:v>
      </x:c>
    </x:row>
    <x:row r="155">
      <x:c r="A155" s="11" t="str">
        <x:v>HA30-15040</x:v>
      </x:c>
      <x:c r="B155" s="7" t="str">
        <x:v>Activity Log - Common function for Upload Excel</x:v>
      </x:c>
      <x:c r="C155" s="6" t="str">
        <x:v>Story</x:v>
      </x:c>
      <x:c r="D155" s="6" t="str">
        <x:v>Alpa Mori</x:v>
      </x:c>
      <x:c r="E155" s="6" t="str">
        <x:v>New / Open</x:v>
      </x:c>
      <x:c r="F155" s="7" t="str"/>
      <x:c r="G155" s="12" t="str">
        <x:v>No</x:v>
      </x:c>
    </x:row>
    <x:row r="156">
      <x:c r="A156" s="11" t="str">
        <x:v>HA30-15036</x:v>
      </x:c>
      <x:c r="B156" s="7" t="str">
        <x:v>Counting Session Dev Task - Add Counting session ID in Reader sessions</x:v>
      </x:c>
      <x:c r="C156" s="6" t="str">
        <x:v>Task</x:v>
      </x:c>
      <x:c r="D156" s="6" t="str">
        <x:v>Muhundhan E</x:v>
      </x:c>
      <x:c r="E156" s="6" t="str">
        <x:v>Done</x:v>
      </x:c>
      <x:c r="F156" s="7" t="str">
        <x:v>App, Dev</x:v>
      </x:c>
      <x:c r="G156" s="12" t="str">
        <x:v>No</x:v>
      </x:c>
    </x:row>
    <x:row r="157">
      <x:c r="A157" s="11" t="str">
        <x:v>HA30-15035</x:v>
      </x:c>
      <x:c r="B157" s="7" t="str">
        <x:v>Counting Session Dev Task - Performance analysis for storing session data in Reader sessions</x:v>
      </x:c>
      <x:c r="C157" s="6" t="str">
        <x:v>Task</x:v>
      </x:c>
      <x:c r="D157" s="6" t="str">
        <x:v>Muhundhan E</x:v>
      </x:c>
      <x:c r="E157" s="6" t="str">
        <x:v>Done</x:v>
      </x:c>
      <x:c r="F157" s="7" t="str">
        <x:v>App, Dev</x:v>
      </x:c>
      <x:c r="G157" s="12" t="str">
        <x:v>No</x:v>
      </x:c>
    </x:row>
    <x:row r="158">
      <x:c r="A158" s="11" t="str">
        <x:v>HA30-15033</x:v>
      </x:c>
      <x:c r="B158" s="7" t="str">
        <x:v>Dev Task - Display full tag ID for UHF in scan pages (ATI &amp; Select multiple)</x:v>
      </x:c>
      <x:c r="C158" s="6" t="str">
        <x:v>Task</x:v>
      </x:c>
      <x:c r="D158" s="6" t="str">
        <x:v>Muhundhan E</x:v>
      </x:c>
      <x:c r="E158" s="6" t="str">
        <x:v>Done</x:v>
      </x:c>
      <x:c r="F158" s="7" t="str">
        <x:v>App, Dev</x:v>
      </x:c>
      <x:c r="G158" s="12" t="str">
        <x:v>No</x:v>
      </x:c>
    </x:row>
    <x:row r="159">
      <x:c r="A159" s="11" t="str">
        <x:v>HA30-15032</x:v>
      </x:c>
      <x:c r="B159" s="7" t="str">
        <x:v>Chute Session: Restock Medicine Bug</x:v>
      </x:c>
      <x:c r="C159" s="6" t="str">
        <x:v>Bug</x:v>
      </x:c>
      <x:c r="D159" s="6" t="str">
        <x:v>Raji S</x:v>
      </x:c>
      <x:c r="E159" s="6" t="str">
        <x:v>Done</x:v>
      </x:c>
      <x:c r="F159" s="7" t="str">
        <x:v>App, Dev, QA</x:v>
      </x:c>
      <x:c r="G159" s="12" t="str">
        <x:v>No</x:v>
      </x:c>
    </x:row>
    <x:row r="160">
      <x:c r="A160" s="11" t="str">
        <x:v>HA30-15029</x:v>
      </x:c>
      <x:c r="B160" s="7" t="str">
        <x:v>Bugs with Adding Sources</x:v>
      </x:c>
      <x:c r="C160" s="6" t="str">
        <x:v>Bug</x:v>
      </x:c>
      <x:c r="D160" s="6" t="str">
        <x:v>Samuel Parker</x:v>
      </x:c>
      <x:c r="E160" s="6" t="str">
        <x:v>Ready for Testing</x:v>
      </x:c>
      <x:c r="F160" s="7" t="str">
        <x:v>App, Dev, Prod, QA</x:v>
      </x:c>
      <x:c r="G160" s="12" t="str">
        <x:v>Yes</x:v>
      </x:c>
    </x:row>
    <x:row r="161">
      <x:c r="A161" s="11" t="str">
        <x:v>HA30-15028</x:v>
      </x:c>
      <x:c r="B161" s="7" t="str">
        <x:v>Show Text Field When Selecting Other Breed</x:v>
      </x:c>
      <x:c r="C161" s="6" t="str">
        <x:v>Task</x:v>
      </x:c>
      <x:c r="D161" s="6" t="str">
        <x:v>ajith</x:v>
      </x:c>
      <x:c r="E161" s="6" t="str">
        <x:v>HerdX Accepted</x:v>
      </x:c>
      <x:c r="F161" s="7" t="str">
        <x:v>App, Dev</x:v>
      </x:c>
      <x:c r="G161" s="12" t="str">
        <x:v>No</x:v>
      </x:c>
    </x:row>
    <x:row r="162">
      <x:c r="A162" s="11" t="str">
        <x:v>HA30-15027</x:v>
      </x:c>
      <x:c r="B162" s="7" t="str">
        <x:v>Chute - Specific Info Medicine not listing</x:v>
      </x:c>
      <x:c r="C162" s="6" t="str">
        <x:v>Bug</x:v>
      </x:c>
      <x:c r="D162" s="6" t="str">
        <x:v>Abraham</x:v>
      </x:c>
      <x:c r="E162" s="6" t="str">
        <x:v>Done</x:v>
      </x:c>
      <x:c r="F162" s="7" t="str">
        <x:v>App, Dev, QA</x:v>
      </x:c>
      <x:c r="G162" s="12" t="str">
        <x:v>No</x:v>
      </x:c>
    </x:row>
    <x:row r="163">
      <x:c r="A163" s="11" t="str">
        <x:v>HA30-15023</x:v>
      </x:c>
      <x:c r="B163" s="7" t="str">
        <x:v>Firebase Crash - Stargate._stopScan</x:v>
      </x:c>
      <x:c r="C163" s="6" t="str">
        <x:v>Bug</x:v>
      </x:c>
      <x:c r="D163" s="6" t="str">
        <x:v>Abraham</x:v>
      </x:c>
      <x:c r="E163" s="6" t="str">
        <x:v>Done</x:v>
      </x:c>
      <x:c r="F163" s="7" t="str">
        <x:v>App, Dev, Firebase, QA</x:v>
      </x:c>
      <x:c r="G163" s="12" t="str">
        <x:v>No</x:v>
      </x:c>
    </x:row>
    <x:row r="164">
      <x:c r="A164" s="11" t="str">
        <x:v>HA30-15022</x:v>
      </x:c>
      <x:c r="B164" s="7" t="str">
        <x:v>Firebase Crash - VectorGraphicWidgetState._loadPicture.&lt;fn&gt;</x:v>
      </x:c>
      <x:c r="C164" s="6" t="str">
        <x:v>Bug</x:v>
      </x:c>
      <x:c r="D164" s="6" t="str">
        <x:v>Abraham</x:v>
      </x:c>
      <x:c r="E164" s="6" t="str">
        <x:v>Done</x:v>
      </x:c>
      <x:c r="F164" s="7" t="str">
        <x:v>App, Dev, Firebase, QA</x:v>
      </x:c>
      <x:c r="G164" s="12" t="str">
        <x:v>No</x:v>
      </x:c>
    </x:row>
    <x:row r="165">
      <x:c r="A165" s="11" t="str">
        <x:v>HA30-15021</x:v>
      </x:c>
      <x:c r="B165" s="7" t="str">
        <x:v>Firebase Crash - QRViewController.pauseCamera</x:v>
      </x:c>
      <x:c r="C165" s="6" t="str">
        <x:v>Bug</x:v>
      </x:c>
      <x:c r="D165" s="6" t="str">
        <x:v>Abraham</x:v>
      </x:c>
      <x:c r="E165" s="6" t="str">
        <x:v>Done</x:v>
      </x:c>
      <x:c r="F165" s="7" t="str">
        <x:v>App, Dev, Firebase, QA</x:v>
      </x:c>
      <x:c r="G165" s="12" t="str">
        <x:v>No</x:v>
      </x:c>
    </x:row>
    <x:row r="166">
      <x:c r="A166" s="11" t="str">
        <x:v>HA30-15013</x:v>
      </x:c>
      <x:c r="B166" s="7" t="str">
        <x:v>Visual Tag - Display Full Visual tag in Health, treatments, Breeding &amp; Parentage screens</x:v>
      </x:c>
      <x:c r="C166" s="6" t="str">
        <x:v>Story</x:v>
      </x:c>
      <x:c r="D166" s="6" t="str">
        <x:v>Praveen Francis</x:v>
      </x:c>
      <x:c r="E166" s="6" t="str">
        <x:v>HerdX Accepted</x:v>
      </x:c>
      <x:c r="F166" s="7" t="str">
        <x:v>App</x:v>
      </x:c>
      <x:c r="G166" s="12" t="str">
        <x:v>No</x:v>
      </x:c>
    </x:row>
    <x:row r="167">
      <x:c r="A167" s="11" t="str">
        <x:v>HA30-15008</x:v>
      </x:c>
      <x:c r="B167" s="7" t="str">
        <x:v>Azure Cost Analysis – Databricks Long-Running Job</x:v>
      </x:c>
      <x:c r="C167" s="6" t="str">
        <x:v>Bug</x:v>
      </x:c>
      <x:c r="D167" s="6" t="str">
        <x:v>Gladys Kirubavathi</x:v>
      </x:c>
      <x:c r="E167" s="6" t="str">
        <x:v>In Progress</x:v>
      </x:c>
      <x:c r="F167" s="7" t="str">
        <x:v>Analytics, Prod</x:v>
      </x:c>
      <x:c r="G167" s="12" t="str">
        <x:v>Yes</x:v>
      </x:c>
    </x:row>
    <x:row r="168">
      <x:c r="A168" s="11" t="str">
        <x:v>HA30-15001</x:v>
      </x:c>
      <x:c r="B168" s="7" t="str">
        <x:v>Validate R6 Reader Output Power Based on Detection Setting</x:v>
      </x:c>
      <x:c r="C168" s="6" t="str">
        <x:v>Task</x:v>
      </x:c>
      <x:c r="D168" s="6" t="str">
        <x:v>Allwin. T</x:v>
      </x:c>
      <x:c r="E168" s="6" t="str">
        <x:v>Done</x:v>
      </x:c>
      <x:c r="F168" s="7" t="str">
        <x:v>App, Dev, r6Scan</x:v>
      </x:c>
      <x:c r="G168" s="12" t="str">
        <x:v>No</x:v>
      </x:c>
    </x:row>
    <x:row r="169">
      <x:c r="A169" s="11" t="str">
        <x:v>HA30-14997</x:v>
      </x:c>
      <x:c r="B169" s="7" t="str">
        <x:v>Validate R6 Reader Output Power Based on Detection Setting</x:v>
      </x:c>
      <x:c r="C169" s="6" t="str">
        <x:v>Story</x:v>
      </x:c>
      <x:c r="D169" s="6" t="str">
        <x:v>Allwin. T</x:v>
      </x:c>
      <x:c r="E169" s="6" t="str">
        <x:v>New / Open</x:v>
      </x:c>
      <x:c r="F169" s="7" t="str"/>
      <x:c r="G169" s="12" t="str">
        <x:v>No</x:v>
      </x:c>
    </x:row>
    <x:row r="170">
      <x:c r="A170" s="11" t="str">
        <x:v>HA30-14979</x:v>
      </x:c>
      <x:c r="B170" s="7" t="str">
        <x:v>Activity Log – “Treatment Added” Records Are Not Displayed and Undo Button is missing (Tab View)</x:v>
      </x:c>
      <x:c r="C170" s="6" t="str">
        <x:v>Bug</x:v>
      </x:c>
      <x:c r="D170" s="6" t="str"/>
      <x:c r="E170" s="6" t="str">
        <x:v>New / Open</x:v>
      </x:c>
      <x:c r="F170" s="7" t="str">
        <x:v>App, Dev, QA</x:v>
      </x:c>
      <x:c r="G170" s="12" t="str">
        <x:v>No</x:v>
      </x:c>
    </x:row>
    <x:row r="171">
      <x:c r="A171" s="11" t="str">
        <x:v>HA30-14977</x:v>
      </x:c>
      <x:c r="B171" s="7" t="str">
        <x:v>Activity Log – Undo Button Is Missing for “Add to Inventory” Activity(TAB VIEW)</x:v>
      </x:c>
      <x:c r="C171" s="6" t="str">
        <x:v>Bug</x:v>
      </x:c>
      <x:c r="D171" s="6" t="str">
        <x:v>Raji S</x:v>
      </x:c>
      <x:c r="E171" s="6" t="str">
        <x:v>New / Open</x:v>
      </x:c>
      <x:c r="F171" s="7" t="str">
        <x:v>App, Dev, QA</x:v>
      </x:c>
      <x:c r="G171" s="12" t="str">
        <x:v>No</x:v>
      </x:c>
    </x:row>
    <x:row r="172">
      <x:c r="A172" s="11" t="str">
        <x:v>HA30-14976</x:v>
      </x:c>
      <x:c r="B172" s="7" t="str">
        <x:v>Activity Log – Search Bar Automatically Displays Created Item Without User Applying Search (TAB VIEW)</x:v>
      </x:c>
      <x:c r="C172" s="6" t="str">
        <x:v>Bug</x:v>
      </x:c>
      <x:c r="D172" s="6" t="str">
        <x:v>gangappan</x:v>
      </x:c>
      <x:c r="E172" s="6" t="str">
        <x:v>Rejected / Not a Bug</x:v>
      </x:c>
      <x:c r="F172" s="7" t="str">
        <x:v>App, Dev, QA</x:v>
      </x:c>
      <x:c r="G172" s="12" t="str">
        <x:v>No</x:v>
      </x:c>
    </x:row>
    <x:row r="173">
      <x:c r="A173" s="11" t="str">
        <x:v>HA30-14966</x:v>
      </x:c>
      <x:c r="B173" s="7" t="str">
        <x:v>Medicine Inventory - Other as an option in Treatment type</x:v>
      </x:c>
      <x:c r="C173" s="6" t="str">
        <x:v>Story</x:v>
      </x:c>
      <x:c r="D173" s="6" t="str">
        <x:v>Praveen Francis</x:v>
      </x:c>
      <x:c r="E173" s="6" t="str">
        <x:v>In Progress</x:v>
      </x:c>
      <x:c r="F173" s="7" t="str">
        <x:v>App</x:v>
      </x:c>
      <x:c r="G173" s="12" t="str">
        <x:v>No</x:v>
      </x:c>
    </x:row>
    <x:row r="174">
      <x:c r="A174" s="11" t="str">
        <x:v>HA30-14934</x:v>
      </x:c>
      <x:c r="B174" s="7" t="str">
        <x:v>Dashboard QA Task - Add recent activities widget</x:v>
      </x:c>
      <x:c r="C174" s="6" t="str">
        <x:v>Task</x:v>
      </x:c>
      <x:c r="D174" s="6" t="str">
        <x:v>ajith</x:v>
      </x:c>
      <x:c r="E174" s="6" t="str">
        <x:v>Done</x:v>
      </x:c>
      <x:c r="F174" s="7" t="str">
        <x:v>App, QA</x:v>
      </x:c>
      <x:c r="G174" s="12" t="str">
        <x:v>No</x:v>
      </x:c>
    </x:row>
    <x:row r="175">
      <x:c r="A175" s="11" t="str">
        <x:v>HA30-14930</x:v>
      </x:c>
      <x:c r="B175" s="7" t="str">
        <x:v>Counting Session Not Displaying Tag in Inventory</x:v>
      </x:c>
      <x:c r="C175" s="6" t="str">
        <x:v>Bug</x:v>
      </x:c>
      <x:c r="D175" s="6" t="str">
        <x:v>Samuel Parker</x:v>
      </x:c>
      <x:c r="E175" s="6" t="str">
        <x:v>HerdX Accepted</x:v>
      </x:c>
      <x:c r="F175" s="7" t="str">
        <x:v>App, Dev, QA</x:v>
      </x:c>
      <x:c r="G175" s="12" t="str">
        <x:v>No</x:v>
      </x:c>
    </x:row>
    <x:row r="176">
      <x:c r="A176" s="11" t="str">
        <x:v>HA30-14923</x:v>
      </x:c>
      <x:c r="B176" s="7" t="str">
        <x:v>Dashboard - Add recent activities widget</x:v>
      </x:c>
      <x:c r="C176" s="6" t="str">
        <x:v>Story</x:v>
      </x:c>
      <x:c r="D176" s="6" t="str">
        <x:v>Praveen Francis</x:v>
      </x:c>
      <x:c r="E176" s="6" t="str">
        <x:v>HerdX Accepted</x:v>
      </x:c>
      <x:c r="F176" s="7" t="str">
        <x:v>App</x:v>
      </x:c>
      <x:c r="G176" s="12" t="str">
        <x:v>No</x:v>
      </x:c>
    </x:row>
    <x:row r="177">
      <x:c r="A177" s="11" t="str">
        <x:v>HA30-14922</x:v>
      </x:c>
      <x:c r="B177" s="7" t="str">
        <x:v>Medicine Inventory – Available Quantity and Restock Option for “Do Not Track Stock” Medicines</x:v>
      </x:c>
      <x:c r="C177" s="6" t="str">
        <x:v>Story</x:v>
      </x:c>
      <x:c r="D177" s="6" t="str"/>
      <x:c r="E177" s="6" t="str">
        <x:v>In Progress</x:v>
      </x:c>
      <x:c r="F177" s="7" t="str">
        <x:v>App, QA</x:v>
      </x:c>
      <x:c r="G177" s="12" t="str">
        <x:v>No</x:v>
      </x:c>
    </x:row>
    <x:row r="178">
      <x:c r="A178" s="11" t="str">
        <x:v>HA30-14921</x:v>
      </x:c>
      <x:c r="B178" s="7" t="str">
        <x:v>Avg. Daily Gain Value Is Not Displayed as the Animal’s Highest ADG Value</x:v>
      </x:c>
      <x:c r="C178" s="6" t="str">
        <x:v>Bug</x:v>
      </x:c>
      <x:c r="D178" s="6" t="str">
        <x:v>Raji S</x:v>
      </x:c>
      <x:c r="E178" s="6" t="str">
        <x:v>Ready for Testing</x:v>
      </x:c>
      <x:c r="F178" s="7" t="str">
        <x:v>App, Dev, QA</x:v>
      </x:c>
      <x:c r="G178" s="12" t="str">
        <x:v>No</x:v>
      </x:c>
    </x:row>
    <x:row r="179">
      <x:c r="A179" s="11" t="str">
        <x:v>HA30-14911</x:v>
      </x:c>
      <x:c r="B179" s="7" t="str">
        <x:v>Report QA Task - Treatment report functionality - Mobile &amp; Tab version</x:v>
      </x:c>
      <x:c r="C179" s="6" t="str">
        <x:v>Task</x:v>
      </x:c>
      <x:c r="D179" s="6" t="str">
        <x:v>gnana sankar</x:v>
      </x:c>
      <x:c r="E179" s="6" t="str">
        <x:v>Done</x:v>
      </x:c>
      <x:c r="F179" s="7" t="str">
        <x:v>App, QA</x:v>
      </x:c>
      <x:c r="G179" s="12" t="str">
        <x:v>No</x:v>
      </x:c>
    </x:row>
    <x:row r="180">
      <x:c r="A180" s="11" t="str">
        <x:v>HA30-14904</x:v>
      </x:c>
      <x:c r="B180" s="7" t="str">
        <x:v>Switch Lot ID for Deleted Animals - Riley Livestock</x:v>
      </x:c>
      <x:c r="C180" s="6" t="str">
        <x:v>Task</x:v>
      </x:c>
      <x:c r="D180" s="6" t="str">
        <x:v>Samuel Parker</x:v>
      </x:c>
      <x:c r="E180" s="6" t="str">
        <x:v>Ready for Testing</x:v>
      </x:c>
      <x:c r="F180" s="7" t="str"/>
      <x:c r="G180" s="12" t="str">
        <x:v>No</x:v>
      </x:c>
    </x:row>
    <x:row r="181">
      <x:c r="A181" s="11" t="str">
        <x:v>HA30-14898</x:v>
      </x:c>
      <x:c r="B181" s="7" t="str">
        <x:v>Present Animal History Instead of Enclosure Movement History</x:v>
      </x:c>
      <x:c r="C181" s="6" t="str">
        <x:v>Story</x:v>
      </x:c>
      <x:c r="D181" s="6" t="str"/>
      <x:c r="E181" s="6" t="str">
        <x:v>New / Open</x:v>
      </x:c>
      <x:c r="F181" s="7" t="str">
        <x:v>App</x:v>
      </x:c>
      <x:c r="G181" s="12" t="str">
        <x:v>No</x:v>
      </x:c>
    </x:row>
    <x:row r="182">
      <x:c r="A182" s="11" t="str">
        <x:v>HA30-14883</x:v>
      </x:c>
      <x:c r="B182" s="7" t="str">
        <x:v>Production – Multiple Diagnosis Options Missing in Health &amp; Treatment Module</x:v>
      </x:c>
      <x:c r="C182" s="6" t="str">
        <x:v>Bug</x:v>
      </x:c>
      <x:c r="D182" s="6" t="str">
        <x:v>Mariappan E</x:v>
      </x:c>
      <x:c r="E182" s="6" t="str">
        <x:v>Done</x:v>
      </x:c>
      <x:c r="F182" s="7" t="str">
        <x:v>App, QAAutomation, Tested</x:v>
      </x:c>
      <x:c r="G182" s="12" t="str">
        <x:v>No</x:v>
      </x:c>
    </x:row>
    <x:row r="183">
      <x:c r="A183" s="11" t="str">
        <x:v>HA30-14882</x:v>
      </x:c>
      <x:c r="B183" s="7" t="str">
        <x:v>Activity Log QA Task - Display activity type breakdown in pie chart</x:v>
      </x:c>
      <x:c r="C183" s="6" t="str">
        <x:v>Task</x:v>
      </x:c>
      <x:c r="D183" s="6" t="str">
        <x:v>Abraham</x:v>
      </x:c>
      <x:c r="E183" s="6" t="str">
        <x:v>Done</x:v>
      </x:c>
      <x:c r="F183" s="7" t="str">
        <x:v>App, QA</x:v>
      </x:c>
      <x:c r="G183" s="12" t="str">
        <x:v>No</x:v>
      </x:c>
    </x:row>
    <x:row r="184">
      <x:c r="A184" s="11" t="str">
        <x:v>HA30-14881</x:v>
      </x:c>
      <x:c r="B184" s="7" t="str">
        <x:v>Activity Log QA Task- Activities Tabular view UI for Tab and Web</x:v>
      </x:c>
      <x:c r="C184" s="6" t="str">
        <x:v>Task</x:v>
      </x:c>
      <x:c r="D184" s="6" t="str">
        <x:v>Raji S</x:v>
      </x:c>
      <x:c r="E184" s="6" t="str">
        <x:v>Done</x:v>
      </x:c>
      <x:c r="F184" s="7" t="str">
        <x:v>App, QA</x:v>
      </x:c>
      <x:c r="G184" s="12" t="str">
        <x:v>No</x:v>
      </x:c>
    </x:row>
    <x:row r="185">
      <x:c r="A185" s="11" t="str">
        <x:v>HA30-14880</x:v>
      </x:c>
      <x:c r="B185" s="7" t="str">
        <x:v>Activity Log QA Task- Activities tabular view for Mobile layout</x:v>
      </x:c>
      <x:c r="C185" s="6" t="str">
        <x:v>Task</x:v>
      </x:c>
      <x:c r="D185" s="6" t="str">
        <x:v>gnana sankar</x:v>
      </x:c>
      <x:c r="E185" s="6" t="str">
        <x:v>Done</x:v>
      </x:c>
      <x:c r="F185" s="7" t="str">
        <x:v>App, QA</x:v>
      </x:c>
      <x:c r="G185" s="12" t="str">
        <x:v>No</x:v>
      </x:c>
    </x:row>
    <x:row r="186">
      <x:c r="A186" s="11" t="str">
        <x:v>HA30-14878</x:v>
      </x:c>
      <x:c r="B186" s="7" t="str">
        <x:v>Dashboard QA Task - Implement the functionality for top 4 KPI cards</x:v>
      </x:c>
      <x:c r="C186" s="6" t="str">
        <x:v>Task</x:v>
      </x:c>
      <x:c r="D186" s="6" t="str">
        <x:v>Raji S</x:v>
      </x:c>
      <x:c r="E186" s="6" t="str">
        <x:v>In Progress</x:v>
      </x:c>
      <x:c r="F186" s="7" t="str">
        <x:v>App, QA</x:v>
      </x:c>
      <x:c r="G186" s="12" t="str">
        <x:v>No</x:v>
      </x:c>
    </x:row>
    <x:row r="187">
      <x:c r="A187" s="11" t="str">
        <x:v>HA30-14877</x:v>
      </x:c>
      <x:c r="B187" s="7" t="str">
        <x:v>Dashboard QA Task - Breeds pie chart</x:v>
      </x:c>
      <x:c r="C187" s="6" t="str">
        <x:v>Task</x:v>
      </x:c>
      <x:c r="D187" s="6" t="str">
        <x:v>gnana sankar</x:v>
      </x:c>
      <x:c r="E187" s="6" t="str">
        <x:v>Done</x:v>
      </x:c>
      <x:c r="F187" s="7" t="str">
        <x:v>App, QA</x:v>
      </x:c>
      <x:c r="G187" s="12" t="str">
        <x:v>No</x:v>
      </x:c>
    </x:row>
    <x:row r="188">
      <x:c r="A188" s="11" t="str">
        <x:v>HA30-14873</x:v>
      </x:c>
      <x:c r="B188" s="7" t="str">
        <x:v>Dashboard QA Task - UI for Top 4 KPI cards on Dashboard</x:v>
      </x:c>
      <x:c r="C188" s="6" t="str">
        <x:v>Task</x:v>
      </x:c>
      <x:c r="D188" s="6" t="str">
        <x:v>gnana sankar</x:v>
      </x:c>
      <x:c r="E188" s="6" t="str">
        <x:v>Done</x:v>
      </x:c>
      <x:c r="F188" s="7" t="str">
        <x:v>App, QA</x:v>
      </x:c>
      <x:c r="G188" s="12" t="str">
        <x:v>No</x:v>
      </x:c>
    </x:row>
    <x:row r="189">
      <x:c r="A189" s="11" t="str">
        <x:v>HA30-14871</x:v>
      </x:c>
      <x:c r="B189" s="7" t="str">
        <x:v>Visual Tag Dev Task - Display Full Visual tag in Health, treatments, Breeding &amp; Parentage screens</x:v>
      </x:c>
      <x:c r="C189" s="6" t="str">
        <x:v>Task</x:v>
      </x:c>
      <x:c r="D189" s="6" t="str">
        <x:v>Muhundhan E</x:v>
      </x:c>
      <x:c r="E189" s="6" t="str">
        <x:v>Done</x:v>
      </x:c>
      <x:c r="F189" s="7" t="str">
        <x:v>App, Dev</x:v>
      </x:c>
      <x:c r="G189" s="12" t="str">
        <x:v>No</x:v>
      </x:c>
    </x:row>
    <x:row r="190">
      <x:c r="A190" s="11" t="str">
        <x:v>HA30-14870</x:v>
      </x:c>
      <x:c r="B190" s="7" t="str">
        <x:v>Activity log - Implement total activities KPI functionality</x:v>
      </x:c>
      <x:c r="C190" s="6" t="str">
        <x:v>Story</x:v>
      </x:c>
      <x:c r="D190" s="6" t="str">
        <x:v>Praveen Francis</x:v>
      </x:c>
      <x:c r="E190" s="6" t="str">
        <x:v>In Progress</x:v>
      </x:c>
      <x:c r="F190" s="7" t="str">
        <x:v>App</x:v>
      </x:c>
      <x:c r="G190" s="12" t="str">
        <x:v>No</x:v>
      </x:c>
    </x:row>
    <x:row r="191">
      <x:c r="A191" s="11" t="str">
        <x:v>HA30-14862</x:v>
      </x:c>
      <x:c r="B191" s="7" t="str">
        <x:v>Activity Log - Activities tabular view for Mobile layout</x:v>
      </x:c>
      <x:c r="C191" s="6" t="str">
        <x:v>Story</x:v>
      </x:c>
      <x:c r="D191" s="6" t="str">
        <x:v>Praveen Francis</x:v>
      </x:c>
      <x:c r="E191" s="6" t="str">
        <x:v>HerdX Accepted</x:v>
      </x:c>
      <x:c r="F191" s="7" t="str">
        <x:v>App</x:v>
      </x:c>
      <x:c r="G191" s="12" t="str">
        <x:v>No</x:v>
      </x:c>
    </x:row>
    <x:row r="192">
      <x:c r="A192" s="11" t="str">
        <x:v>HA30-14861</x:v>
      </x:c>
      <x:c r="B192" s="7" t="str">
        <x:v>Activity Log - Activities Tabular view UI for Tab and Web</x:v>
      </x:c>
      <x:c r="C192" s="6" t="str">
        <x:v>Story</x:v>
      </x:c>
      <x:c r="D192" s="6" t="str">
        <x:v>Praveen Francis</x:v>
      </x:c>
      <x:c r="E192" s="6" t="str">
        <x:v>In Progress</x:v>
      </x:c>
      <x:c r="F192" s="7" t="str">
        <x:v>App</x:v>
      </x:c>
      <x:c r="G192" s="12" t="str">
        <x:v>No</x:v>
      </x:c>
    </x:row>
    <x:row r="193">
      <x:c r="A193" s="11" t="str">
        <x:v>HA30-14857</x:v>
      </x:c>
      <x:c r="B193" s="7" t="str">
        <x:v>Activity Log - Display activity type breakdown in pie chart</x:v>
      </x:c>
      <x:c r="C193" s="6" t="str">
        <x:v>Story</x:v>
      </x:c>
      <x:c r="D193" s="6" t="str">
        <x:v>Praveen Francis</x:v>
      </x:c>
      <x:c r="E193" s="6" t="str">
        <x:v>In Progress</x:v>
      </x:c>
      <x:c r="F193" s="7" t="str">
        <x:v>App</x:v>
      </x:c>
      <x:c r="G193" s="12" t="str">
        <x:v>No</x:v>
      </x:c>
    </x:row>
    <x:row r="194">
      <x:c r="A194" s="11" t="str">
        <x:v>HA30-14834</x:v>
      </x:c>
      <x:c r="B194" s="7" t="str">
        <x:v>Dashboard STR - Breeds pie chart</x:v>
      </x:c>
      <x:c r="C194" s="6" t="str">
        <x:v>Story</x:v>
      </x:c>
      <x:c r="D194" s="6" t="str">
        <x:v>Praveen Francis</x:v>
      </x:c>
      <x:c r="E194" s="6" t="str">
        <x:v>In Progress</x:v>
      </x:c>
      <x:c r="F194" s="7" t="str">
        <x:v>App</x:v>
      </x:c>
      <x:c r="G194" s="12" t="str">
        <x:v>No</x:v>
      </x:c>
    </x:row>
    <x:row r="195">
      <x:c r="A195" s="11" t="str">
        <x:v>HA30-14833</x:v>
      </x:c>
      <x:c r="B195" s="7" t="str">
        <x:v>Dashboard STR - Implement the functionality for top 4 KPI cards</x:v>
      </x:c>
      <x:c r="C195" s="6" t="str">
        <x:v>Story</x:v>
      </x:c>
      <x:c r="D195" s="6" t="str">
        <x:v>Alpa Mori</x:v>
      </x:c>
      <x:c r="E195" s="6" t="str">
        <x:v>New / Open</x:v>
      </x:c>
      <x:c r="F195" s="7" t="str">
        <x:v>App</x:v>
      </x:c>
      <x:c r="G195" s="12" t="str">
        <x:v>No</x:v>
      </x:c>
    </x:row>
    <x:row r="196">
      <x:c r="A196" s="11" t="str">
        <x:v>HA30-14832</x:v>
      </x:c>
      <x:c r="B196" s="7" t="str">
        <x:v>Dashboard STR - UI for Top 4 KPI cards on Dashboard</x:v>
      </x:c>
      <x:c r="C196" s="6" t="str">
        <x:v>Story</x:v>
      </x:c>
      <x:c r="D196" s="6" t="str">
        <x:v>Praveen Francis</x:v>
      </x:c>
      <x:c r="E196" s="6" t="str">
        <x:v>In Progress</x:v>
      </x:c>
      <x:c r="F196" s="7" t="str">
        <x:v>App</x:v>
      </x:c>
      <x:c r="G196" s="12" t="str">
        <x:v>No</x:v>
      </x:c>
    </x:row>
    <x:row r="197">
      <x:c r="A197" s="11" t="str">
        <x:v>HA30-14826</x:v>
      </x:c>
      <x:c r="B197" s="7" t="str">
        <x:v>Investigate Azure ADF Cost Increase and Identify Cost Optimization Opportunities</x:v>
      </x:c>
      <x:c r="C197" s="6" t="str">
        <x:v>Task</x:v>
      </x:c>
      <x:c r="D197" s="6" t="str">
        <x:v>Gladys Kirubavathi</x:v>
      </x:c>
      <x:c r="E197" s="6" t="str">
        <x:v>In Progress</x:v>
      </x:c>
      <x:c r="F197" s="7" t="str">
        <x:v>Analytics, App</x:v>
      </x:c>
      <x:c r="G197" s="12" t="str">
        <x:v>No</x:v>
      </x:c>
    </x:row>
    <x:row r="198">
      <x:c r="A198" s="11" t="str">
        <x:v>HA30-14822</x:v>
      </x:c>
      <x:c r="B198" s="7" t="str">
        <x:v>Report Story - Treatment report functionality - Mobile &amp; Tab version</x:v>
      </x:c>
      <x:c r="C198" s="6" t="str">
        <x:v>Story</x:v>
      </x:c>
      <x:c r="D198" s="6" t="str">
        <x:v>Praveen Francis</x:v>
      </x:c>
      <x:c r="E198" s="6" t="str">
        <x:v>In Progress</x:v>
      </x:c>
      <x:c r="F198" s="7" t="str">
        <x:v>App, POC</x:v>
      </x:c>
      <x:c r="G198" s="12" t="str">
        <x:v>No</x:v>
      </x:c>
    </x:row>
    <x:row r="199">
      <x:c r="A199" s="11" t="str">
        <x:v>HA30-14816</x:v>
      </x:c>
      <x:c r="B199" s="7" t="str">
        <x:v>Review and Resolve All Crashlytics Issues in the Chute session</x:v>
      </x:c>
      <x:c r="C199" s="6" t="str">
        <x:v>Story</x:v>
      </x:c>
      <x:c r="D199" s="6" t="str">
        <x:v>Praveen Francis</x:v>
      </x:c>
      <x:c r="E199" s="6" t="str">
        <x:v>In Progress</x:v>
      </x:c>
      <x:c r="F199" s="7" t="str">
        <x:v>App</x:v>
      </x:c>
      <x:c r="G199" s="12" t="str">
        <x:v>No</x:v>
      </x:c>
    </x:row>
    <x:row r="200">
      <x:c r="A200" s="11" t="str">
        <x:v>HA30-14814</x:v>
      </x:c>
      <x:c r="B200" s="7" t="str">
        <x:v>Prevent Data Loss by Stopping Process on Critical Errors in inventory</x:v>
      </x:c>
      <x:c r="C200" s="6" t="str">
        <x:v>Story</x:v>
      </x:c>
      <x:c r="D200" s="6" t="str">
        <x:v>Praveen Francis</x:v>
      </x:c>
      <x:c r="E200" s="6" t="str">
        <x:v>In Progress</x:v>
      </x:c>
      <x:c r="F200" s="7" t="str">
        <x:v>App</x:v>
      </x:c>
      <x:c r="G200" s="12" t="str">
        <x:v>No</x:v>
      </x:c>
    </x:row>
    <x:row r="201">
      <x:c r="A201" s="11" t="str">
        <x:v>HA30-14813</x:v>
      </x:c>
      <x:c r="B201" s="7" t="str">
        <x:v>New Automation Development – Assign Medicine to Animals for Pastures from Medicine Inventory</x:v>
      </x:c>
      <x:c r="C201" s="6" t="str">
        <x:v>Story</x:v>
      </x:c>
      <x:c r="D201" s="6" t="str">
        <x:v>Mariappan E</x:v>
      </x:c>
      <x:c r="E201" s="6" t="str">
        <x:v>In Progress</x:v>
      </x:c>
      <x:c r="F201" s="7" t="str">
        <x:v>QAAutomation</x:v>
      </x:c>
      <x:c r="G201" s="12" t="str">
        <x:v>No</x:v>
      </x:c>
    </x:row>
    <x:row r="202">
      <x:c r="A202" s="11" t="str">
        <x:v>HA30-14798</x:v>
      </x:c>
      <x:c r="B202" s="7" t="str">
        <x:v>Prod Issue - Customer Issue - Animals Missing in the Chute session</x:v>
      </x:c>
      <x:c r="C202" s="6" t="str">
        <x:v>Bug</x:v>
      </x:c>
      <x:c r="D202" s="6" t="str">
        <x:v>Praveen Francis</x:v>
      </x:c>
      <x:c r="E202" s="6" t="str">
        <x:v>New / Open</x:v>
      </x:c>
      <x:c r="F202" s="7" t="str">
        <x:v>App, Dev, Prod, QA</x:v>
      </x:c>
      <x:c r="G202" s="12" t="str">
        <x:v>Yes</x:v>
      </x:c>
    </x:row>
    <x:row r="203">
      <x:c r="A203" s="11" t="str">
        <x:v>HA30-14785</x:v>
      </x:c>
      <x:c r="B203" s="7" t="str">
        <x:v>Admin portal - Grey screen in Manage Menu screen</x:v>
      </x:c>
      <x:c r="C203" s="6" t="str">
        <x:v>Bug</x:v>
      </x:c>
      <x:c r="D203" s="6" t="str">
        <x:v>gangappan</x:v>
      </x:c>
      <x:c r="E203" s="6" t="str">
        <x:v>Ready for Testing</x:v>
      </x:c>
      <x:c r="F203" s="7" t="str">
        <x:v>Admin</x:v>
      </x:c>
      <x:c r="G203" s="12" t="str">
        <x:v>No</x:v>
      </x:c>
    </x:row>
    <x:row r="204">
      <x:c r="A204" s="11" t="str">
        <x:v>HA30-14779</x:v>
      </x:c>
      <x:c r="B204" s="7" t="str">
        <x:v>Prod : Treatment history continuous sync</x:v>
      </x:c>
      <x:c r="C204" s="6" t="str">
        <x:v>Bug</x:v>
      </x:c>
      <x:c r="D204" s="6" t="str">
        <x:v>Samuel Parker</x:v>
      </x:c>
      <x:c r="E204" s="6" t="str">
        <x:v>Ready for Testing</x:v>
      </x:c>
      <x:c r="F204" s="7" t="str">
        <x:v>App, Dev, Prod, QA</x:v>
      </x:c>
      <x:c r="G204" s="12" t="str">
        <x:v>Yes</x:v>
      </x:c>
    </x:row>
    <x:row r="205">
      <x:c r="A205" s="11" t="str">
        <x:v>HA30-14769</x:v>
      </x:c>
      <x:c r="B205" s="7" t="str">
        <x:v>Firebase Crash - HHR - CreateNewAnimalsFormHHRState.startListening.&lt;fn&gt;</x:v>
      </x:c>
      <x:c r="C205" s="6" t="str">
        <x:v>Bug</x:v>
      </x:c>
      <x:c r="D205" s="6" t="str">
        <x:v>Abraham</x:v>
      </x:c>
      <x:c r="E205" s="6" t="str">
        <x:v>Ready for Testing</x:v>
      </x:c>
      <x:c r="F205" s="7" t="str">
        <x:v>App, Dev, Firebase, QA</x:v>
      </x:c>
      <x:c r="G205" s="12" t="str">
        <x:v>No</x:v>
      </x:c>
    </x:row>
    <x:row r="206">
      <x:c r="A206" s="11" t="str">
        <x:v>HA30-14734</x:v>
      </x:c>
      <x:c r="B206" s="7" t="str">
        <x:v>Firebase Extensions decommission on Mar 31, 2027</x:v>
      </x:c>
      <x:c r="C206" s="6" t="str">
        <x:v>Task</x:v>
      </x:c>
      <x:c r="D206" s="6" t="str">
        <x:v>samuel kishore kumar</x:v>
      </x:c>
      <x:c r="E206" s="6" t="str">
        <x:v>New / Open</x:v>
      </x:c>
      <x:c r="F206" s="7" t="str"/>
      <x:c r="G206" s="12" t="str">
        <x:v>No</x:v>
      </x:c>
    </x:row>
    <x:row r="207">
      <x:c r="A207" s="11" t="str">
        <x:v>HA30-14635</x:v>
      </x:c>
      <x:c r="B207" s="7" t="str">
        <x:v>Counting session - Add Counting session ID in Reader sessions</x:v>
      </x:c>
      <x:c r="C207" s="6" t="str">
        <x:v>Story</x:v>
      </x:c>
      <x:c r="D207" s="6" t="str">
        <x:v>Praveen Francis</x:v>
      </x:c>
      <x:c r="E207" s="6" t="str">
        <x:v>In Progress</x:v>
      </x:c>
      <x:c r="F207" s="7" t="str">
        <x:v>App</x:v>
      </x:c>
      <x:c r="G207" s="12" t="str">
        <x:v>No</x:v>
      </x:c>
    </x:row>
    <x:row r="208">
      <x:c r="A208" s="11" t="str">
        <x:v>HA30-14634</x:v>
      </x:c>
      <x:c r="B208" s="7" t="str">
        <x:v>Counting Session - Performance analysis for storing session data in Reader sessions</x:v>
      </x:c>
      <x:c r="C208" s="6" t="str">
        <x:v>Story</x:v>
      </x:c>
      <x:c r="D208" s="6" t="str">
        <x:v>Praveen Francis</x:v>
      </x:c>
      <x:c r="E208" s="6" t="str">
        <x:v>In Progress</x:v>
      </x:c>
      <x:c r="F208" s="7" t="str">
        <x:v>App</x:v>
      </x:c>
      <x:c r="G208" s="12" t="str">
        <x:v>No</x:v>
      </x:c>
    </x:row>
    <x:row r="209">
      <x:c r="A209" s="11" t="str">
        <x:v>HA30-14596</x:v>
      </x:c>
      <x:c r="B209" s="7" t="str">
        <x:v>Investigate inconsistent HSR RFID tag reading performance during load-out at Riley Livestock</x:v>
      </x:c>
      <x:c r="C209" s="6" t="str">
        <x:v>Task</x:v>
      </x:c>
      <x:c r="D209" s="6" t="str">
        <x:v>Abraham</x:v>
      </x:c>
      <x:c r="E209" s="6" t="str">
        <x:v>New / Open</x:v>
      </x:c>
      <x:c r="F209" s="7" t="str"/>
      <x:c r="G209" s="12" t="str">
        <x:v>No</x:v>
      </x:c>
    </x:row>
    <x:row r="210">
      <x:c r="A210" s="11" t="str">
        <x:v>HA30-14595</x:v>
      </x:c>
      <x:c r="B210" s="7" t="str">
        <x:v>Access to the Google Cloud console</x:v>
      </x:c>
      <x:c r="C210" s="6" t="str">
        <x:v>Task</x:v>
      </x:c>
      <x:c r="D210" s="6" t="str">
        <x:v>samuel kishore kumar</x:v>
      </x:c>
      <x:c r="E210" s="6" t="str">
        <x:v>New / Open</x:v>
      </x:c>
      <x:c r="F210" s="7" t="str"/>
      <x:c r="G210" s="12" t="str">
        <x:v>No</x:v>
      </x:c>
    </x:row>
    <x:row r="211">
      <x:c r="A211" s="11" t="str">
        <x:v>HA30-14594</x:v>
      </x:c>
      <x:c r="B211" s="7" t="str">
        <x:v>Azure Databricks workspace entitlement changes</x:v>
      </x:c>
      <x:c r="C211" s="6" t="str">
        <x:v>Task</x:v>
      </x:c>
      <x:c r="D211" s="6" t="str">
        <x:v>Gladys Kirubavathi</x:v>
      </x:c>
      <x:c r="E211" s="6" t="str">
        <x:v>New / Open</x:v>
      </x:c>
      <x:c r="F211" s="7" t="str"/>
      <x:c r="G211" s="12" t="str">
        <x:v>No</x:v>
      </x:c>
    </x:row>
    <x:row r="212">
      <x:c r="A212" s="11" t="str">
        <x:v>HA30-14471</x:v>
      </x:c>
      <x:c r="B212" s="7" t="str">
        <x:v>Prod - MedicineInventory - Other medicine type not listed in user medicine,  Old version if we update other medicine type , its shown blank in new app</x:v>
      </x:c>
      <x:c r="C212" s="6" t="str">
        <x:v>Bug</x:v>
      </x:c>
      <x:c r="D212" s="6" t="str">
        <x:v>Samuel Parker</x:v>
      </x:c>
      <x:c r="E212" s="6" t="str">
        <x:v>Ready for Testing</x:v>
      </x:c>
      <x:c r="F212" s="7" t="str">
        <x:v>App, Dev, Prod, QA</x:v>
      </x:c>
      <x:c r="G212" s="12" t="str">
        <x:v>Yes</x:v>
      </x:c>
    </x:row>
    <x:row r="213">
      <x:c r="A213" s="11" t="str">
        <x:v>HA30-14460</x:v>
      </x:c>
      <x:c r="B213" s="7" t="str">
        <x:v>Shift Spacing on Inventory Page for Desktop Version</x:v>
      </x:c>
      <x:c r="C213" s="6" t="str">
        <x:v>Improvement</x:v>
      </x:c>
      <x:c r="D213" s="6" t="str">
        <x:v>Saravana Kumar M</x:v>
      </x:c>
      <x:c r="E213" s="6" t="str">
        <x:v>New / Open</x:v>
      </x:c>
      <x:c r="F213" s="7" t="str"/>
      <x:c r="G213" s="12" t="str">
        <x:v>No</x:v>
      </x:c>
    </x:row>
    <x:row r="214">
      <x:c r="A214" s="11" t="str">
        <x:v>HA30-14422</x:v>
      </x:c>
      <x:c r="B214" s="7" t="str">
        <x:v>Prod -Web ,For  Location Operation User other location records were displayed</x:v>
      </x:c>
      <x:c r="C214" s="6" t="str">
        <x:v>Bug</x:v>
      </x:c>
      <x:c r="D214" s="6" t="str">
        <x:v>gangappan</x:v>
      </x:c>
      <x:c r="E214" s="6" t="str">
        <x:v>New / Open</x:v>
      </x:c>
      <x:c r="F214" s="7" t="str">
        <x:v>App, Prod, QA, dev, web</x:v>
      </x:c>
      <x:c r="G214" s="12" t="str">
        <x:v>Yes</x:v>
      </x:c>
    </x:row>
    <x:row r="215">
      <x:c r="A215" s="11" t="str">
        <x:v>HA30-14419</x:v>
      </x:c>
      <x:c r="B215" s="7" t="str">
        <x:v>Firebase Crash - Provider._inheritedElementOf FlutterError - Provider&lt;ScanTagsCubit&gt; not found for Builder. Error thrown while handling a gesture.</x:v>
      </x:c>
      <x:c r="C215" s="6" t="str">
        <x:v>Bug</x:v>
      </x:c>
      <x:c r="D215" s="6" t="str">
        <x:v>Abraham</x:v>
      </x:c>
      <x:c r="E215" s="6" t="str">
        <x:v>Done</x:v>
      </x:c>
      <x:c r="F215" s="7" t="str">
        <x:v>App, Dev, Firebase, QA</x:v>
      </x:c>
      <x:c r="G215" s="12" t="str">
        <x:v>No</x:v>
      </x:c>
    </x:row>
    <x:row r="216">
      <x:c r="A216" s="11" t="str">
        <x:v>HA30-14381</x:v>
      </x:c>
      <x:c r="B216" s="7" t="str">
        <x:v>Backdate feed option auto selecting in add to inventory</x:v>
      </x:c>
      <x:c r="C216" s="6" t="str">
        <x:v>Bug</x:v>
      </x:c>
      <x:c r="D216" s="6" t="str">
        <x:v>Samuel Parker</x:v>
      </x:c>
      <x:c r="E216" s="6" t="str">
        <x:v>Ready for Testing</x:v>
      </x:c>
      <x:c r="F216" s="7" t="str">
        <x:v>App, Dev, QA</x:v>
      </x:c>
      <x:c r="G216" s="12" t="str">
        <x:v>No</x:v>
      </x:c>
    </x:row>
    <x:row r="217">
      <x:c r="A217" s="11" t="str">
        <x:v>HA30-14347</x:v>
      </x:c>
      <x:c r="B217" s="7" t="str">
        <x:v>Display full tag ID for UHF in scan pages (ATI &amp; Select multiple)</x:v>
      </x:c>
      <x:c r="C217" s="6" t="str">
        <x:v>Story</x:v>
      </x:c>
      <x:c r="D217" s="6" t="str">
        <x:v>Praveen Francis</x:v>
      </x:c>
      <x:c r="E217" s="6" t="str">
        <x:v>HerdX Accepted</x:v>
      </x:c>
      <x:c r="F217" s="7" t="str">
        <x:v>App</x:v>
      </x:c>
      <x:c r="G217" s="12" t="str">
        <x:v>No</x:v>
      </x:c>
    </x:row>
    <x:row r="218">
      <x:c r="A218" s="11" t="str">
        <x:v>HA30-14319</x:v>
      </x:c>
      <x:c r="B218" s="7" t="str">
        <x:v>Export Excel – Improve Alignment of the Glass Tag/Implant Column Within the Additional IDs Group</x:v>
      </x:c>
      <x:c r="C218" s="6" t="str">
        <x:v>Improvement</x:v>
      </x:c>
      <x:c r="D218" s="6" t="str">
        <x:v>samuel kishore kumar</x:v>
      </x:c>
      <x:c r="E218" s="6" t="str">
        <x:v>New / Open</x:v>
      </x:c>
      <x:c r="F218" s="7" t="str"/>
      <x:c r="G218" s="12" t="str">
        <x:v>No</x:v>
      </x:c>
    </x:row>
    <x:row r="219">
      <x:c r="A219" s="11" t="str">
        <x:v>HA30-14249</x:v>
      </x:c>
      <x:c r="B219" s="7" t="str">
        <x:v>ATI - Manual entry - Message needs to be updated when switching from one tag type to another</x:v>
      </x:c>
      <x:c r="C219" s="6" t="str">
        <x:v>Improvement</x:v>
      </x:c>
      <x:c r="D219" s="6" t="str"/>
      <x:c r="E219" s="6" t="str">
        <x:v>New / Open</x:v>
      </x:c>
      <x:c r="F219" s="7" t="str">
        <x:v>App</x:v>
      </x:c>
      <x:c r="G219" s="12" t="str">
        <x:v>No</x:v>
      </x:c>
    </x:row>
    <x:row r="220">
      <x:c r="A220" s="11" t="str">
        <x:v>HA30-14115</x:v>
      </x:c>
      <x:c r="B220" s="7" t="str">
        <x:v>Feed - Ration Card need to show the Ration Category</x:v>
      </x:c>
      <x:c r="C220" s="6" t="str">
        <x:v>Improvement</x:v>
      </x:c>
      <x:c r="D220" s="6" t="str">
        <x:v>Abraham</x:v>
      </x:c>
      <x:c r="E220" s="6" t="str">
        <x:v>Ready for Testing</x:v>
      </x:c>
      <x:c r="F220" s="7" t="str">
        <x:v>App, Dev, QA</x:v>
      </x:c>
      <x:c r="G220" s="12" t="str">
        <x:v>No</x:v>
      </x:c>
    </x:row>
    <x:row r="221">
      <x:c r="A221" s="11" t="str">
        <x:v>HA30-13964</x:v>
      </x:c>
      <x:c r="B221" s="7" t="str">
        <x:v>Connecting to a reader during a session while in manual error</x:v>
      </x:c>
      <x:c r="C221" s="6" t="str">
        <x:v>Bug</x:v>
      </x:c>
      <x:c r="D221" s="6" t="str">
        <x:v>Samuel Parker</x:v>
      </x:c>
      <x:c r="E221" s="6" t="str">
        <x:v>Ready for Testing</x:v>
      </x:c>
      <x:c r="F221" s="7" t="str">
        <x:v>App, Dev, QA</x:v>
      </x:c>
      <x:c r="G221" s="12" t="str">
        <x:v>No</x:v>
      </x:c>
    </x:row>
    <x:row r="222">
      <x:c r="A222" s="11" t="str">
        <x:v>HA30-13493</x:v>
      </x:c>
      <x:c r="B222" s="7" t="str">
        <x:v>Norton Client Issue in Production - Assigned Tag Range Displayed as "Not Assigned" in Add to Inventory Flow</x:v>
      </x:c>
      <x:c r="C222" s="6" t="str">
        <x:v>Bug</x:v>
      </x:c>
      <x:c r="D222" s="6" t="str">
        <x:v>Praveen Francis</x:v>
      </x:c>
      <x:c r="E222" s="6" t="str">
        <x:v>New / Open</x:v>
      </x:c>
      <x:c r="F222" s="7" t="str">
        <x:v>App, Dev, Prod, QA</x:v>
      </x:c>
      <x:c r="G222" s="12" t="str">
        <x:v>Yes</x:v>
      </x:c>
    </x:row>
    <x:row r="223">
      <x:c r="A223" s="13" t="str">
        <x:v>HA30-13467</x:v>
      </x:c>
      <x:c r="B223" s="14" t="str">
        <x:v>Crash analytics - R6ReaderCardAndroidState.r6Item.</x:v>
      </x:c>
      <x:c r="C223" s="15" t="str">
        <x:v>Bug</x:v>
      </x:c>
      <x:c r="D223" s="15" t="str">
        <x:v>Abraham</x:v>
      </x:c>
      <x:c r="E223" s="15" t="str">
        <x:v>New / Open</x:v>
      </x:c>
      <x:c r="F223" s="14" t="str">
        <x:v>App, Dev, Firebase, QA</x:v>
      </x:c>
      <x:c r="G223" s="16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88499ae00efb4453"/>
  </x:tableParts>
</x:worksheet>
</file>